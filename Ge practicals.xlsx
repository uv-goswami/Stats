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shitiz\Downloads\"/>
    </mc:Choice>
  </mc:AlternateContent>
  <xr:revisionPtr revIDLastSave="0" documentId="13_ncr:1_{B45B3015-7661-4D7E-B2E6-F1592CAC3F91}" xr6:coauthVersionLast="47" xr6:coauthVersionMax="47" xr10:uidLastSave="{00000000-0000-0000-0000-000000000000}"/>
  <bookViews>
    <workbookView xWindow="-108" yWindow="-108" windowWidth="23256" windowHeight="13896" tabRatio="500" activeTab="5" xr2:uid="{00000000-000D-0000-FFFF-FFFF00000000}"/>
  </bookViews>
  <sheets>
    <sheet name="1.1" sheetId="1" r:id="rId1"/>
    <sheet name="1.4" sheetId="2" r:id="rId2"/>
    <sheet name="1.10" sheetId="3" r:id="rId3"/>
    <sheet name="1.13" sheetId="4" r:id="rId4"/>
    <sheet name="1.15" sheetId="5" r:id="rId5"/>
    <sheet name="1.1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24" i="5" l="1"/>
  <c r="F11" i="5" s="1"/>
  <c r="F13" i="5"/>
  <c r="D16" i="4"/>
  <c r="D18" i="4" s="1"/>
  <c r="C16" i="4"/>
  <c r="E15" i="4"/>
  <c r="E14" i="4"/>
  <c r="E13" i="4"/>
  <c r="E12" i="4"/>
  <c r="E11" i="4"/>
  <c r="E10" i="4"/>
  <c r="E9" i="4"/>
  <c r="E8" i="4"/>
  <c r="E7" i="4"/>
  <c r="E6" i="4"/>
  <c r="D27" i="3"/>
  <c r="I5" i="3" s="1"/>
  <c r="C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F21" i="2"/>
  <c r="F20" i="2"/>
  <c r="I22" i="2" s="1"/>
  <c r="E15" i="2"/>
  <c r="I16" i="2" s="1"/>
  <c r="K13" i="2"/>
  <c r="E16" i="2" s="1"/>
  <c r="J13" i="2"/>
  <c r="E16" i="1"/>
  <c r="H8" i="1" s="1"/>
  <c r="D16" i="1"/>
  <c r="H7" i="1" s="1"/>
  <c r="H12" i="1" l="1"/>
  <c r="H14" i="1"/>
  <c r="H13" i="1"/>
  <c r="K10" i="4"/>
  <c r="K7" i="4"/>
  <c r="K12" i="4"/>
  <c r="K14" i="4"/>
  <c r="D19" i="4"/>
  <c r="D20" i="4" s="1"/>
  <c r="K11" i="4"/>
  <c r="K13" i="4"/>
  <c r="K8" i="4"/>
  <c r="K6" i="4"/>
  <c r="K9" i="4"/>
  <c r="K15" i="4"/>
  <c r="E12" i="3"/>
  <c r="E5" i="3"/>
  <c r="E19" i="3"/>
  <c r="E18" i="3"/>
  <c r="E14" i="3"/>
  <c r="I10" i="3"/>
  <c r="E8" i="3"/>
  <c r="E23" i="3"/>
  <c r="E15" i="3"/>
  <c r="E11" i="3"/>
  <c r="E26" i="3"/>
  <c r="E21" i="3"/>
  <c r="E6" i="3"/>
  <c r="E16" i="3"/>
  <c r="E7" i="3"/>
  <c r="E10" i="3"/>
  <c r="E25" i="3"/>
  <c r="E17" i="3"/>
  <c r="E13" i="3"/>
  <c r="E9" i="3"/>
  <c r="E24" i="3"/>
  <c r="E20" i="3"/>
  <c r="E22" i="3"/>
  <c r="I6" i="3"/>
  <c r="I11" i="3" s="1"/>
  <c r="J14" i="1"/>
  <c r="J13" i="1"/>
  <c r="J12" i="1"/>
  <c r="L17" i="2"/>
  <c r="L16" i="2"/>
  <c r="I17" i="2"/>
  <c r="L15" i="2"/>
  <c r="F14" i="5"/>
  <c r="F12" i="5"/>
  <c r="I15" i="2"/>
  <c r="I20" i="2"/>
  <c r="F4" i="5"/>
  <c r="I21" i="2"/>
  <c r="F13" i="4" l="1"/>
  <c r="G13" i="4" s="1"/>
  <c r="H13" i="4" s="1"/>
  <c r="F6" i="4"/>
  <c r="G6" i="4" s="1"/>
  <c r="H6" i="4" s="1"/>
  <c r="F15" i="4"/>
  <c r="G15" i="4" s="1"/>
  <c r="H15" i="4" s="1"/>
  <c r="F8" i="4"/>
  <c r="G8" i="4" s="1"/>
  <c r="H8" i="4" s="1"/>
  <c r="F14" i="4"/>
  <c r="G14" i="4" s="1"/>
  <c r="H14" i="4" s="1"/>
  <c r="F10" i="4"/>
  <c r="G10" i="4" s="1"/>
  <c r="H10" i="4" s="1"/>
  <c r="F12" i="4"/>
  <c r="G12" i="4" s="1"/>
  <c r="H12" i="4" s="1"/>
  <c r="F7" i="4"/>
  <c r="G7" i="4" s="1"/>
  <c r="H7" i="4" s="1"/>
  <c r="F11" i="4"/>
  <c r="G11" i="4" s="1"/>
  <c r="H11" i="4" s="1"/>
  <c r="F9" i="4"/>
  <c r="G9" i="4" s="1"/>
  <c r="H9" i="4" s="1"/>
  <c r="F26" i="3"/>
  <c r="F8" i="3"/>
  <c r="F23" i="3"/>
  <c r="F19" i="3"/>
  <c r="F15" i="3"/>
  <c r="F7" i="3"/>
  <c r="F22" i="3"/>
  <c r="F18" i="3"/>
  <c r="F10" i="3"/>
  <c r="F25" i="3"/>
  <c r="F21" i="3"/>
  <c r="F17" i="3"/>
  <c r="F13" i="3"/>
  <c r="F6" i="3"/>
  <c r="F24" i="3"/>
  <c r="F16" i="3"/>
  <c r="F12" i="3"/>
  <c r="F5" i="3"/>
  <c r="F14" i="3"/>
  <c r="F9" i="3"/>
  <c r="F20" i="3"/>
  <c r="F11" i="3"/>
  <c r="I12" i="3"/>
  <c r="F7" i="5"/>
  <c r="F6" i="5"/>
  <c r="F5" i="5"/>
  <c r="J11" i="4" l="1"/>
  <c r="I11" i="4"/>
  <c r="I12" i="4"/>
  <c r="J12" i="4"/>
  <c r="J14" i="4"/>
  <c r="I14" i="4"/>
  <c r="J15" i="4"/>
  <c r="I15" i="4"/>
  <c r="I9" i="4"/>
  <c r="J9" i="4"/>
  <c r="I7" i="4"/>
  <c r="J7" i="4"/>
  <c r="J10" i="4"/>
  <c r="I10" i="4"/>
  <c r="J8" i="4"/>
  <c r="I8" i="4"/>
  <c r="I6" i="4"/>
  <c r="J6" i="4"/>
  <c r="G8" i="3"/>
  <c r="G10" i="3"/>
  <c r="G23" i="3"/>
  <c r="G19" i="3"/>
  <c r="G15" i="3"/>
  <c r="G11" i="3"/>
  <c r="G7" i="3"/>
  <c r="G18" i="3"/>
  <c r="G25" i="3"/>
  <c r="G21" i="3"/>
  <c r="G17" i="3"/>
  <c r="G13" i="3"/>
  <c r="G6" i="3"/>
  <c r="G26" i="3"/>
  <c r="G12" i="3"/>
  <c r="G22" i="3"/>
  <c r="G9" i="3"/>
  <c r="G24" i="3"/>
  <c r="G20" i="3"/>
  <c r="G16" i="3"/>
  <c r="G5" i="3"/>
  <c r="G14" i="3"/>
  <c r="J13" i="4"/>
  <c r="I13" i="4"/>
</calcChain>
</file>

<file path=xl/sharedStrings.xml><?xml version="1.0" encoding="utf-8"?>
<sst xmlns="http://schemas.openxmlformats.org/spreadsheetml/2006/main" count="83" uniqueCount="62">
  <si>
    <t>Sample No.</t>
  </si>
  <si>
    <t>Mean</t>
  </si>
  <si>
    <t>Range</t>
  </si>
  <si>
    <t>X̿</t>
  </si>
  <si>
    <t>R̅</t>
  </si>
  <si>
    <t>X̅-Chart</t>
  </si>
  <si>
    <t>R-Chart</t>
  </si>
  <si>
    <t>CL</t>
  </si>
  <si>
    <t>UCL</t>
  </si>
  <si>
    <t>LCL</t>
  </si>
  <si>
    <t xml:space="preserve">Total </t>
  </si>
  <si>
    <t>Group No.</t>
  </si>
  <si>
    <t>TOTAL</t>
  </si>
  <si>
    <t>UCL ̅x</t>
  </si>
  <si>
    <t>UCLR̅</t>
  </si>
  <si>
    <t>CL¯x</t>
  </si>
  <si>
    <t>CLR̅</t>
  </si>
  <si>
    <t>LCL¯x</t>
  </si>
  <si>
    <t>LCLR̅</t>
  </si>
  <si>
    <t>X̿’</t>
  </si>
  <si>
    <t>UCLX̿</t>
  </si>
  <si>
    <t>R̅’</t>
  </si>
  <si>
    <t>CLX̿</t>
  </si>
  <si>
    <t>LCLX̿</t>
  </si>
  <si>
    <t>Hence sample No. 1 , 2 , 3 , 5, 12, 13,14,15,16,17,20,21,22 fall outside control limits</t>
  </si>
  <si>
    <t>Sample No</t>
  </si>
  <si>
    <t>d</t>
  </si>
  <si>
    <t>p (d/2000)</t>
  </si>
  <si>
    <t>Clp</t>
  </si>
  <si>
    <t>UCLp</t>
  </si>
  <si>
    <t>LCLp</t>
  </si>
  <si>
    <t>p̅</t>
  </si>
  <si>
    <t>q̅</t>
  </si>
  <si>
    <t>3-σ CL for  p-chart are given by:</t>
  </si>
  <si>
    <t>Total</t>
  </si>
  <si>
    <t xml:space="preserve">Sample No.
</t>
  </si>
  <si>
    <t>Sample Size (n)</t>
  </si>
  <si>
    <t>No. of Defects  (d)</t>
  </si>
  <si>
    <t>p (defective fraction d/n)</t>
  </si>
  <si>
    <r>
      <rPr>
        <sz val="10"/>
        <rFont val="Arial"/>
        <family val="2"/>
      </rPr>
      <t>p̅q̅</t>
    </r>
    <r>
      <rPr>
        <b/>
        <sz val="10"/>
        <rFont val="Times New Roman"/>
        <family val="1"/>
      </rPr>
      <t>/n</t>
    </r>
  </si>
  <si>
    <r>
      <rPr>
        <b/>
        <sz val="10"/>
        <rFont val="Times New Roman"/>
        <family val="1"/>
      </rPr>
      <t>sqrt(</t>
    </r>
    <r>
      <rPr>
        <sz val="10"/>
        <rFont val="Arial"/>
        <family val="2"/>
      </rPr>
      <t>p̅q̅</t>
    </r>
    <r>
      <rPr>
        <b/>
        <sz val="10"/>
        <rFont val="Times New Roman"/>
        <family val="1"/>
      </rPr>
      <t>/n)</t>
    </r>
  </si>
  <si>
    <r>
      <rPr>
        <b/>
        <sz val="10"/>
        <rFont val="Times New Roman"/>
        <family val="1"/>
      </rPr>
      <t>3 * sqrt(</t>
    </r>
    <r>
      <rPr>
        <sz val="10"/>
        <rFont val="Arial"/>
        <family val="2"/>
      </rPr>
      <t>p̅q̅</t>
    </r>
    <r>
      <rPr>
        <b/>
        <sz val="10"/>
        <rFont val="Times New Roman"/>
        <family val="1"/>
      </rPr>
      <t>/n)</t>
    </r>
  </si>
  <si>
    <t>UCL (Upper Control Limit)</t>
  </si>
  <si>
    <t>LCL (Lower Control Limit)</t>
  </si>
  <si>
    <t>p̅q̅</t>
  </si>
  <si>
    <t>Item No.</t>
  </si>
  <si>
    <t>No. of defects</t>
  </si>
  <si>
    <t>c̅</t>
  </si>
  <si>
    <t>Clc</t>
  </si>
  <si>
    <t>UCLc</t>
  </si>
  <si>
    <t>LCLc</t>
  </si>
  <si>
    <t>We see that the number of defects corresponding to Item No. 11 and 6 are outside the control limits. So we exclude them</t>
  </si>
  <si>
    <t>c̅’</t>
  </si>
  <si>
    <t>Clc’</t>
  </si>
  <si>
    <t>UCLc’</t>
  </si>
  <si>
    <t>LCLc’</t>
  </si>
  <si>
    <t>p</t>
  </si>
  <si>
    <t>(N-n)(1-Pa)</t>
  </si>
  <si>
    <t>ATI</t>
  </si>
  <si>
    <t>np=lambda</t>
  </si>
  <si>
    <t>Pa</t>
  </si>
  <si>
    <t>AOQ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</si>
</sst>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0"/>
    <numFmt numFmtId="166" formatCode="0.000000"/>
    <numFmt numFmtId="167" formatCode="0.000"/>
  </numFmts>
  <fonts count="13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</font>
    <font>
      <sz val="10"/>
      <color rgb="FF006600"/>
      <name val="Arial"/>
      <family val="2"/>
    </font>
    <font>
      <sz val="10"/>
      <color rgb="FFC9211E"/>
      <name val="Arial"/>
      <family val="2"/>
    </font>
    <font>
      <sz val="10"/>
      <color rgb="FF996600"/>
      <name val="Arial"/>
      <family val="2"/>
    </font>
    <font>
      <i/>
      <sz val="10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CC0000"/>
      <name val="Arial"/>
      <family val="2"/>
    </font>
    <font>
      <sz val="10"/>
      <color rgb="FF333333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0000"/>
        <bgColor rgb="FFC9211E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3" fillId="2" borderId="0" applyBorder="0" applyProtection="0"/>
    <xf numFmtId="0" fontId="5" fillId="3" borderId="0" applyBorder="0" applyProtection="0"/>
    <xf numFmtId="0" fontId="6" fillId="0" borderId="0" applyBorder="0" applyProtection="0"/>
    <xf numFmtId="0" fontId="7" fillId="4" borderId="0" applyBorder="0" applyProtection="0"/>
    <xf numFmtId="0" fontId="8" fillId="5" borderId="0" applyBorder="0" applyProtection="0"/>
    <xf numFmtId="0" fontId="9" fillId="6" borderId="0" applyBorder="0" applyProtection="0"/>
    <xf numFmtId="0" fontId="10" fillId="3" borderId="1" applyProtection="0"/>
    <xf numFmtId="0" fontId="1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8" fillId="5" borderId="0" xfId="5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/>
    <xf numFmtId="0" fontId="2" fillId="0" borderId="0" xfId="0" applyFont="1"/>
    <xf numFmtId="0" fontId="0" fillId="0" borderId="2" xfId="0" applyBorder="1"/>
    <xf numFmtId="0" fontId="3" fillId="2" borderId="2" xfId="1" applyBorder="1"/>
    <xf numFmtId="0" fontId="4" fillId="0" borderId="0" xfId="0" applyFont="1"/>
    <xf numFmtId="0" fontId="5" fillId="3" borderId="2" xfId="2" applyBorder="1" applyAlignment="1">
      <alignment horizontal="center"/>
    </xf>
    <xf numFmtId="0" fontId="3" fillId="2" borderId="2" xfId="1" applyBorder="1" applyAlignment="1">
      <alignment horizontal="center"/>
    </xf>
    <xf numFmtId="0" fontId="6" fillId="0" borderId="2" xfId="3" applyBorder="1"/>
    <xf numFmtId="0" fontId="0" fillId="7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7" fillId="4" borderId="2" xfId="4" applyNumberFormat="1" applyBorder="1"/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9" fillId="6" borderId="3" xfId="6" applyBorder="1" applyAlignment="1">
      <alignment horizontal="center"/>
    </xf>
    <xf numFmtId="0" fontId="9" fillId="6" borderId="4" xfId="6" applyBorder="1" applyAlignment="1">
      <alignment horizontal="center"/>
    </xf>
    <xf numFmtId="0" fontId="9" fillId="6" borderId="5" xfId="6" applyBorder="1" applyAlignment="1">
      <alignment horizontal="center"/>
    </xf>
    <xf numFmtId="0" fontId="3" fillId="2" borderId="0" xfId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0" xfId="1" applyAlignment="1">
      <alignment horizontal="center"/>
    </xf>
    <xf numFmtId="0" fontId="10" fillId="3" borderId="3" xfId="7" applyBorder="1"/>
    <xf numFmtId="0" fontId="10" fillId="3" borderId="4" xfId="7" applyBorder="1"/>
    <xf numFmtId="0" fontId="10" fillId="3" borderId="5" xfId="7" applyBorder="1"/>
    <xf numFmtId="0" fontId="11" fillId="7" borderId="6" xfId="0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11" fillId="7" borderId="8" xfId="0" applyFont="1" applyFill="1" applyBorder="1" applyAlignment="1">
      <alignment horizontal="center"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wrapText="1"/>
    </xf>
    <xf numFmtId="165" fontId="12" fillId="0" borderId="7" xfId="0" applyNumberFormat="1" applyFont="1" applyBorder="1" applyAlignment="1">
      <alignment wrapText="1"/>
    </xf>
    <xf numFmtId="166" fontId="12" fillId="0" borderId="7" xfId="0" applyNumberFormat="1" applyFont="1" applyBorder="1" applyAlignment="1">
      <alignment wrapText="1"/>
    </xf>
    <xf numFmtId="167" fontId="12" fillId="0" borderId="7" xfId="0" applyNumberFormat="1" applyFont="1" applyBorder="1" applyAlignment="1">
      <alignment wrapText="1"/>
    </xf>
    <xf numFmtId="167" fontId="12" fillId="0" borderId="8" xfId="0" applyNumberFormat="1" applyFont="1" applyBorder="1" applyAlignment="1">
      <alignment wrapText="1"/>
    </xf>
    <xf numFmtId="0" fontId="12" fillId="0" borderId="6" xfId="0" applyFont="1" applyBorder="1"/>
    <xf numFmtId="0" fontId="12" fillId="0" borderId="7" xfId="0" applyFont="1" applyBorder="1"/>
    <xf numFmtId="0" fontId="10" fillId="3" borderId="1" xfId="7"/>
    <xf numFmtId="2" fontId="3" fillId="2" borderId="2" xfId="1" applyNumberFormat="1" applyBorder="1"/>
    <xf numFmtId="0" fontId="9" fillId="6" borderId="2" xfId="6" applyBorder="1" applyAlignment="1">
      <alignment horizontal="center"/>
    </xf>
    <xf numFmtId="0" fontId="1" fillId="0" borderId="0" xfId="8"/>
  </cellXfs>
  <cellStyles count="9">
    <cellStyle name="Accent 3" xfId="5" xr:uid="{00000000-0005-0000-0000-00000A000000}"/>
    <cellStyle name="Bad" xfId="6" xr:uid="{00000000-0005-0000-0000-00000B000000}"/>
    <cellStyle name="Error" xfId="4" xr:uid="{00000000-0005-0000-0000-000009000000}"/>
    <cellStyle name="Footnote" xfId="3" xr:uid="{00000000-0005-0000-0000-000008000000}"/>
    <cellStyle name="Good" xfId="1" xr:uid="{00000000-0005-0000-0000-000006000000}"/>
    <cellStyle name="Neutral" xfId="2" xr:uid="{00000000-0005-0000-0000-000007000000}"/>
    <cellStyle name="Normal" xfId="0" builtinId="0"/>
    <cellStyle name="Normal 2" xfId="8" xr:uid="{68127275-078A-4F87-8293-9A01A3C9ABEA}"/>
    <cellStyle name="Note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11729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D320"/>
      <rgbColor rgb="FFFF9900"/>
      <rgbColor rgb="FFFF420E"/>
      <rgbColor rgb="FF666699"/>
      <rgbColor rgb="FF77BC65"/>
      <rgbColor rgb="FF004586"/>
      <rgbColor rgb="FF579D1C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5.6311051522696803E-2"/>
          <c:y val="7.3111111111111099E-2"/>
          <c:w val="0.783518483049224"/>
          <c:h val="0.75188888888888905"/>
        </c:manualLayout>
      </c:layout>
      <c:lineChart>
        <c:grouping val="standard"/>
        <c:varyColors val="0"/>
        <c:ser>
          <c:idx val="0"/>
          <c:order val="0"/>
          <c:tx>
            <c:strRef>
              <c:f>'1.10'!$D$4</c:f>
              <c:strCache>
                <c:ptCount val="1"/>
                <c:pt idx="0">
                  <c:v>p (d/2000)</c:v>
                </c:pt>
              </c:strCache>
            </c:strRef>
          </c:tx>
          <c:spPr>
            <a:ln w="28800">
              <a:solidFill>
                <a:srgbClr val="77BC65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'1.10'!$D$5:$D$26</c:f>
              <c:numCache>
                <c:formatCode>General</c:formatCode>
                <c:ptCount val="22"/>
                <c:pt idx="0">
                  <c:v>0.21249999999999999</c:v>
                </c:pt>
                <c:pt idx="1">
                  <c:v>0.215</c:v>
                </c:pt>
                <c:pt idx="2">
                  <c:v>0.108</c:v>
                </c:pt>
                <c:pt idx="3">
                  <c:v>0.17050000000000001</c:v>
                </c:pt>
                <c:pt idx="4">
                  <c:v>0.1125</c:v>
                </c:pt>
                <c:pt idx="5">
                  <c:v>0.161</c:v>
                </c:pt>
                <c:pt idx="6">
                  <c:v>0.14000000000000001</c:v>
                </c:pt>
                <c:pt idx="7">
                  <c:v>0.153</c:v>
                </c:pt>
                <c:pt idx="8">
                  <c:v>0.16850000000000001</c:v>
                </c:pt>
                <c:pt idx="9">
                  <c:v>0.1525</c:v>
                </c:pt>
                <c:pt idx="10">
                  <c:v>0.17799999999999999</c:v>
                </c:pt>
                <c:pt idx="11">
                  <c:v>0.20100000000000001</c:v>
                </c:pt>
                <c:pt idx="12">
                  <c:v>0.108</c:v>
                </c:pt>
                <c:pt idx="13">
                  <c:v>0.13200000000000001</c:v>
                </c:pt>
                <c:pt idx="14">
                  <c:v>6.3E-2</c:v>
                </c:pt>
                <c:pt idx="15">
                  <c:v>0.20449999999999999</c:v>
                </c:pt>
                <c:pt idx="16">
                  <c:v>9.6500000000000002E-2</c:v>
                </c:pt>
                <c:pt idx="17">
                  <c:v>0.16300000000000001</c:v>
                </c:pt>
                <c:pt idx="18">
                  <c:v>0.14000000000000001</c:v>
                </c:pt>
                <c:pt idx="19">
                  <c:v>0.19450000000000001</c:v>
                </c:pt>
                <c:pt idx="20">
                  <c:v>0.22550000000000001</c:v>
                </c:pt>
                <c:pt idx="2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F-413E-8C1E-9F710761DC1B}"/>
            </c:ext>
          </c:extLst>
        </c:ser>
        <c:ser>
          <c:idx val="1"/>
          <c:order val="1"/>
          <c:tx>
            <c:strRef>
              <c:f>'1.10'!$E$4</c:f>
              <c:strCache>
                <c:ptCount val="1"/>
                <c:pt idx="0">
                  <c:v>Clp</c:v>
                </c:pt>
              </c:strCache>
            </c:strRef>
          </c:tx>
          <c:spPr>
            <a:ln w="28800">
              <a:solidFill>
                <a:srgbClr val="FF420E"/>
              </a:solidFill>
              <a:prstDash val="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  <a:prstDash val="dot"/>
                    </a:ln>
                  </c:spPr>
                </c15:leaderLines>
              </c:ext>
            </c:extLst>
          </c:dLbls>
          <c:val>
            <c:numRef>
              <c:f>'1.10'!$E$5:$E$26</c:f>
              <c:numCache>
                <c:formatCode>General</c:formatCode>
                <c:ptCount val="22"/>
                <c:pt idx="0">
                  <c:v>0.15952272727272729</c:v>
                </c:pt>
                <c:pt idx="1">
                  <c:v>0.15952272727272729</c:v>
                </c:pt>
                <c:pt idx="2">
                  <c:v>0.15952272727272729</c:v>
                </c:pt>
                <c:pt idx="3">
                  <c:v>0.15952272727272729</c:v>
                </c:pt>
                <c:pt idx="4">
                  <c:v>0.15952272727272729</c:v>
                </c:pt>
                <c:pt idx="5">
                  <c:v>0.15952272727272729</c:v>
                </c:pt>
                <c:pt idx="6">
                  <c:v>0.15952272727272729</c:v>
                </c:pt>
                <c:pt idx="7">
                  <c:v>0.15952272727272729</c:v>
                </c:pt>
                <c:pt idx="8">
                  <c:v>0.15952272727272729</c:v>
                </c:pt>
                <c:pt idx="9">
                  <c:v>0.15952272727272729</c:v>
                </c:pt>
                <c:pt idx="10">
                  <c:v>0.15952272727272729</c:v>
                </c:pt>
                <c:pt idx="11">
                  <c:v>0.15952272727272729</c:v>
                </c:pt>
                <c:pt idx="12">
                  <c:v>0.15952272727272729</c:v>
                </c:pt>
                <c:pt idx="13">
                  <c:v>0.15952272727272729</c:v>
                </c:pt>
                <c:pt idx="14">
                  <c:v>0.15952272727272729</c:v>
                </c:pt>
                <c:pt idx="15">
                  <c:v>0.15952272727272729</c:v>
                </c:pt>
                <c:pt idx="16">
                  <c:v>0.15952272727272729</c:v>
                </c:pt>
                <c:pt idx="17">
                  <c:v>0.15952272727272729</c:v>
                </c:pt>
                <c:pt idx="18">
                  <c:v>0.15952272727272729</c:v>
                </c:pt>
                <c:pt idx="19">
                  <c:v>0.15952272727272729</c:v>
                </c:pt>
                <c:pt idx="20">
                  <c:v>0.15952272727272729</c:v>
                </c:pt>
                <c:pt idx="21">
                  <c:v>0.15952272727272729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F-413E-8C1E-9F710761DC1B}"/>
            </c:ext>
          </c:extLst>
        </c:ser>
        <c:ser>
          <c:idx val="2"/>
          <c:order val="2"/>
          <c:tx>
            <c:strRef>
              <c:f>'1.10'!$F$4</c:f>
              <c:strCache>
                <c:ptCount val="1"/>
                <c:pt idx="0">
                  <c:v>UCLp</c:v>
                </c:pt>
              </c:strCache>
            </c:strRef>
          </c:tx>
          <c:spPr>
            <a:ln w="28800">
              <a:solidFill>
                <a:srgbClr val="611729"/>
              </a:solidFill>
              <a:prstDash val="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  <a:prstDash val="dot"/>
                    </a:ln>
                  </c:spPr>
                </c15:leaderLines>
              </c:ext>
            </c:extLst>
          </c:dLbls>
          <c:val>
            <c:numRef>
              <c:f>'1.10'!$F$5:$F$26</c:f>
              <c:numCache>
                <c:formatCode>General</c:formatCode>
                <c:ptCount val="22"/>
                <c:pt idx="0">
                  <c:v>0.1840856774294754</c:v>
                </c:pt>
                <c:pt idx="1">
                  <c:v>0.1840856774294754</c:v>
                </c:pt>
                <c:pt idx="2">
                  <c:v>0.1840856774294754</c:v>
                </c:pt>
                <c:pt idx="3">
                  <c:v>0.1840856774294754</c:v>
                </c:pt>
                <c:pt idx="4">
                  <c:v>0.1840856774294754</c:v>
                </c:pt>
                <c:pt idx="5">
                  <c:v>0.1840856774294754</c:v>
                </c:pt>
                <c:pt idx="6">
                  <c:v>0.1840856774294754</c:v>
                </c:pt>
                <c:pt idx="7">
                  <c:v>0.1840856774294754</c:v>
                </c:pt>
                <c:pt idx="8">
                  <c:v>0.1840856774294754</c:v>
                </c:pt>
                <c:pt idx="9">
                  <c:v>0.1840856774294754</c:v>
                </c:pt>
                <c:pt idx="10">
                  <c:v>0.1840856774294754</c:v>
                </c:pt>
                <c:pt idx="11">
                  <c:v>0.1840856774294754</c:v>
                </c:pt>
                <c:pt idx="12">
                  <c:v>0.1840856774294754</c:v>
                </c:pt>
                <c:pt idx="13">
                  <c:v>0.1840856774294754</c:v>
                </c:pt>
                <c:pt idx="14">
                  <c:v>0.1840856774294754</c:v>
                </c:pt>
                <c:pt idx="15">
                  <c:v>0.1840856774294754</c:v>
                </c:pt>
                <c:pt idx="16">
                  <c:v>0.1840856774294754</c:v>
                </c:pt>
                <c:pt idx="17">
                  <c:v>0.1840856774294754</c:v>
                </c:pt>
                <c:pt idx="18">
                  <c:v>0.1840856774294754</c:v>
                </c:pt>
                <c:pt idx="19">
                  <c:v>0.1840856774294754</c:v>
                </c:pt>
                <c:pt idx="20">
                  <c:v>0.1840856774294754</c:v>
                </c:pt>
                <c:pt idx="21">
                  <c:v>0.1840856774294754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F-413E-8C1E-9F710761DC1B}"/>
            </c:ext>
          </c:extLst>
        </c:ser>
        <c:ser>
          <c:idx val="3"/>
          <c:order val="3"/>
          <c:tx>
            <c:strRef>
              <c:f>'1.10'!$G$4</c:f>
              <c:strCache>
                <c:ptCount val="1"/>
                <c:pt idx="0">
                  <c:v>LCLp</c:v>
                </c:pt>
              </c:strCache>
            </c:strRef>
          </c:tx>
          <c:spPr>
            <a:ln w="28800">
              <a:solidFill>
                <a:srgbClr val="000000"/>
              </a:solidFill>
              <a:prstDash val="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  <a:prstDash val="dot"/>
                    </a:ln>
                  </c:spPr>
                </c15:leaderLines>
              </c:ext>
            </c:extLst>
          </c:dLbls>
          <c:val>
            <c:numRef>
              <c:f>'1.10'!$G$5:$G$26</c:f>
              <c:numCache>
                <c:formatCode>General</c:formatCode>
                <c:ptCount val="22"/>
                <c:pt idx="0">
                  <c:v>0.13495977711597917</c:v>
                </c:pt>
                <c:pt idx="1">
                  <c:v>0.13495977711597917</c:v>
                </c:pt>
                <c:pt idx="2">
                  <c:v>0.13495977711597917</c:v>
                </c:pt>
                <c:pt idx="3">
                  <c:v>0.13495977711597917</c:v>
                </c:pt>
                <c:pt idx="4">
                  <c:v>0.13495977711597917</c:v>
                </c:pt>
                <c:pt idx="5">
                  <c:v>0.13495977711597917</c:v>
                </c:pt>
                <c:pt idx="6">
                  <c:v>0.13495977711597917</c:v>
                </c:pt>
                <c:pt idx="7">
                  <c:v>0.13495977711597917</c:v>
                </c:pt>
                <c:pt idx="8">
                  <c:v>0.13495977711597917</c:v>
                </c:pt>
                <c:pt idx="9">
                  <c:v>0.13495977711597917</c:v>
                </c:pt>
                <c:pt idx="10">
                  <c:v>0.13495977711597917</c:v>
                </c:pt>
                <c:pt idx="11">
                  <c:v>0.13495977711597917</c:v>
                </c:pt>
                <c:pt idx="12">
                  <c:v>0.13495977711597917</c:v>
                </c:pt>
                <c:pt idx="13">
                  <c:v>0.13495977711597917</c:v>
                </c:pt>
                <c:pt idx="14">
                  <c:v>0.13495977711597917</c:v>
                </c:pt>
                <c:pt idx="15">
                  <c:v>0.13495977711597917</c:v>
                </c:pt>
                <c:pt idx="16">
                  <c:v>0.13495977711597917</c:v>
                </c:pt>
                <c:pt idx="17">
                  <c:v>0.13495977711597917</c:v>
                </c:pt>
                <c:pt idx="18">
                  <c:v>0.13495977711597917</c:v>
                </c:pt>
                <c:pt idx="19">
                  <c:v>0.13495977711597917</c:v>
                </c:pt>
                <c:pt idx="20">
                  <c:v>0.13495977711597917</c:v>
                </c:pt>
                <c:pt idx="21">
                  <c:v>0.13495977711597917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F-413E-8C1E-9F710761D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856120"/>
        <c:axId val="33833587"/>
      </c:lineChart>
      <c:catAx>
        <c:axId val="88856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en-US"/>
          </a:p>
        </c:txPr>
        <c:crossAx val="33833587"/>
        <c:crosses val="autoZero"/>
        <c:auto val="1"/>
        <c:lblAlgn val="ctr"/>
        <c:lblOffset val="100"/>
        <c:noMultiLvlLbl val="0"/>
      </c:catAx>
      <c:valAx>
        <c:axId val="338335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en-US"/>
          </a:p>
        </c:txPr>
        <c:crossAx val="88856120"/>
        <c:crosses val="autoZero"/>
        <c:crossBetween val="midCat"/>
      </c:valAx>
      <c:spPr>
        <a:noFill/>
        <a:ln w="0">
          <a:solidFill>
            <a:srgbClr val="B3B3B3"/>
          </a:solidFill>
          <a:prstDash val="sysDot"/>
        </a:ln>
      </c:spPr>
    </c:plotArea>
    <c:legend>
      <c:legendPos val="r"/>
      <c:layout>
        <c:manualLayout>
          <c:xMode val="edge"/>
          <c:yMode val="edge"/>
          <c:x val="0.842463129668646"/>
          <c:y val="0.38933333333333298"/>
          <c:w val="0.14260403198774099"/>
          <c:h val="0.187576397377485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9624999999999996E-2"/>
          <c:y val="4.7777777777777801E-2"/>
          <c:w val="0.54756249999999995"/>
          <c:h val="0.86577777777777798"/>
        </c:manualLayout>
      </c:layout>
      <c:lineChart>
        <c:grouping val="standard"/>
        <c:varyColors val="0"/>
        <c:ser>
          <c:idx val="0"/>
          <c:order val="0"/>
          <c:tx>
            <c:strRef>
              <c:f>'1.13'!$E$5</c:f>
              <c:strCache>
                <c:ptCount val="1"/>
                <c:pt idx="0">
                  <c:v>p (defective fraction d/n)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noFill/>
                    </a:ln>
                  </c:spPr>
                </c15:leaderLines>
              </c:ext>
            </c:extLst>
          </c:dLbls>
          <c:val>
            <c:numRef>
              <c:f>'1.13'!$E$6:$E$15</c:f>
              <c:numCache>
                <c:formatCode>General</c:formatCode>
                <c:ptCount val="10"/>
                <c:pt idx="0">
                  <c:v>0.21249999999999999</c:v>
                </c:pt>
                <c:pt idx="1">
                  <c:v>0.28666666666666668</c:v>
                </c:pt>
                <c:pt idx="2">
                  <c:v>0.15428571428571428</c:v>
                </c:pt>
                <c:pt idx="3">
                  <c:v>0.25259259259259259</c:v>
                </c:pt>
                <c:pt idx="4">
                  <c:v>0.18</c:v>
                </c:pt>
                <c:pt idx="5">
                  <c:v>0.18295454545454545</c:v>
                </c:pt>
                <c:pt idx="6">
                  <c:v>0.14933333333333335</c:v>
                </c:pt>
                <c:pt idx="7">
                  <c:v>0.15652173913043479</c:v>
                </c:pt>
                <c:pt idx="8">
                  <c:v>0.10784000000000001</c:v>
                </c:pt>
                <c:pt idx="9">
                  <c:v>0.19365079365079366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1-46EB-B6B4-F3E0AD0D7B84}"/>
            </c:ext>
          </c:extLst>
        </c:ser>
        <c:ser>
          <c:idx val="1"/>
          <c:order val="1"/>
          <c:tx>
            <c:strRef>
              <c:f>'1.13'!$I$5</c:f>
              <c:strCache>
                <c:ptCount val="1"/>
                <c:pt idx="0">
                  <c:v>UCL (Upper Control Limit)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'1.13'!$I$6:$I$15</c:f>
              <c:numCache>
                <c:formatCode>0.000</c:formatCode>
                <c:ptCount val="10"/>
                <c:pt idx="0">
                  <c:v>0.20486981736103779</c:v>
                </c:pt>
                <c:pt idx="1">
                  <c:v>0.20884936958406283</c:v>
                </c:pt>
                <c:pt idx="2">
                  <c:v>0.20989192300083931</c:v>
                </c:pt>
                <c:pt idx="3">
                  <c:v>0.21045612300725486</c:v>
                </c:pt>
                <c:pt idx="4">
                  <c:v>0.21168445049003634</c:v>
                </c:pt>
                <c:pt idx="5">
                  <c:v>0.20656770867637719</c:v>
                </c:pt>
                <c:pt idx="6">
                  <c:v>0.20571345786187856</c:v>
                </c:pt>
                <c:pt idx="7">
                  <c:v>0.20516419193949095</c:v>
                </c:pt>
                <c:pt idx="8">
                  <c:v>0.19972497137056153</c:v>
                </c:pt>
                <c:pt idx="9">
                  <c:v>0.20813351060048288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1-46EB-B6B4-F3E0AD0D7B84}"/>
            </c:ext>
          </c:extLst>
        </c:ser>
        <c:ser>
          <c:idx val="2"/>
          <c:order val="2"/>
          <c:tx>
            <c:strRef>
              <c:f>'1.13'!$J$5</c:f>
              <c:strCache>
                <c:ptCount val="1"/>
                <c:pt idx="0">
                  <c:v>LCL (Lower Control Limit)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'1.13'!$J$6:$J$15</c:f>
              <c:numCache>
                <c:formatCode>0.000</c:formatCode>
                <c:ptCount val="10"/>
                <c:pt idx="0">
                  <c:v>0.1534213574562753</c:v>
                </c:pt>
                <c:pt idx="1">
                  <c:v>0.14944180523325026</c:v>
                </c:pt>
                <c:pt idx="2">
                  <c:v>0.14839925181647379</c:v>
                </c:pt>
                <c:pt idx="3">
                  <c:v>0.14783505181005824</c:v>
                </c:pt>
                <c:pt idx="4">
                  <c:v>0.14660672432727676</c:v>
                </c:pt>
                <c:pt idx="5">
                  <c:v>0.1517234661409359</c:v>
                </c:pt>
                <c:pt idx="6">
                  <c:v>0.15257771695543454</c:v>
                </c:pt>
                <c:pt idx="7">
                  <c:v>0.15312698287782214</c:v>
                </c:pt>
                <c:pt idx="8">
                  <c:v>0.15856620344675157</c:v>
                </c:pt>
                <c:pt idx="9">
                  <c:v>0.15015766421683022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1-46EB-B6B4-F3E0AD0D7B84}"/>
            </c:ext>
          </c:extLst>
        </c:ser>
        <c:ser>
          <c:idx val="3"/>
          <c:order val="3"/>
          <c:tx>
            <c:strRef>
              <c:f>'1.13'!$K$5</c:f>
              <c:strCache>
                <c:ptCount val="1"/>
                <c:pt idx="0">
                  <c:v>CL</c:v>
                </c:pt>
              </c:strCache>
            </c:strRef>
          </c:tx>
          <c:spPr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'1.13'!$K$6:$K$15</c:f>
              <c:numCache>
                <c:formatCode>0.000</c:formatCode>
                <c:ptCount val="10"/>
                <c:pt idx="0">
                  <c:v>0.17914558740865655</c:v>
                </c:pt>
                <c:pt idx="1">
                  <c:v>0.17914558740865655</c:v>
                </c:pt>
                <c:pt idx="2">
                  <c:v>0.17914558740865655</c:v>
                </c:pt>
                <c:pt idx="3">
                  <c:v>0.17914558740865655</c:v>
                </c:pt>
                <c:pt idx="4">
                  <c:v>0.17914558740865655</c:v>
                </c:pt>
                <c:pt idx="5">
                  <c:v>0.17914558740865655</c:v>
                </c:pt>
                <c:pt idx="6">
                  <c:v>0.17914558740865655</c:v>
                </c:pt>
                <c:pt idx="7">
                  <c:v>0.17914558740865655</c:v>
                </c:pt>
                <c:pt idx="8">
                  <c:v>0.17914558740865655</c:v>
                </c:pt>
                <c:pt idx="9">
                  <c:v>0.17914558740865655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1-46EB-B6B4-F3E0AD0D7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8163847"/>
        <c:axId val="28978308"/>
      </c:lineChart>
      <c:catAx>
        <c:axId val="68163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en-US"/>
          </a:p>
        </c:txPr>
        <c:crossAx val="28978308"/>
        <c:crosses val="autoZero"/>
        <c:auto val="1"/>
        <c:lblAlgn val="ctr"/>
        <c:lblOffset val="100"/>
        <c:noMultiLvlLbl val="0"/>
      </c:catAx>
      <c:valAx>
        <c:axId val="28978308"/>
        <c:scaling>
          <c:orientation val="minMax"/>
          <c:max val="0.22"/>
          <c:min val="0.1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en-US"/>
          </a:p>
        </c:txPr>
        <c:crossAx val="68163847"/>
        <c:crosses val="autoZero"/>
        <c:crossBetween val="midCat"/>
        <c:majorUnit val="0.0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'1.16'!$C$1</c:f>
              <c:strCache>
                <c:ptCount val="1"/>
                <c:pt idx="0">
                  <c:v>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'1.16'!$A$2:$A$10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0.1</c:v>
                </c:pt>
                <c:pt idx="7">
                  <c:v>0.15</c:v>
                </c:pt>
                <c:pt idx="8">
                  <c:v>0.3</c:v>
                </c:pt>
              </c:numCache>
            </c:numRef>
          </c:cat>
          <c:val>
            <c:numRef>
              <c:f>'1.16'!$C$2:$C$10</c:f>
              <c:numCache>
                <c:formatCode>General</c:formatCode>
                <c:ptCount val="9"/>
                <c:pt idx="0">
                  <c:v>0.99999998204296814</c:v>
                </c:pt>
                <c:pt idx="1">
                  <c:v>0.99992633947640375</c:v>
                </c:pt>
                <c:pt idx="2">
                  <c:v>0.99584757869863583</c:v>
                </c:pt>
                <c:pt idx="3">
                  <c:v>0.83524420191471527</c:v>
                </c:pt>
                <c:pt idx="4">
                  <c:v>0.39113496740655779</c:v>
                </c:pt>
                <c:pt idx="5">
                  <c:v>0.2080773625404943</c:v>
                </c:pt>
                <c:pt idx="6">
                  <c:v>3.8601758266317343E-2</c:v>
                </c:pt>
                <c:pt idx="7">
                  <c:v>1.040850277232486E-4</c:v>
                </c:pt>
                <c:pt idx="8">
                  <c:v>2.8437430235907589E-15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7-40B1-AEF3-4028BCA20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AOQ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'1.16'!$D$1</c:f>
              <c:strCache>
                <c:ptCount val="1"/>
                <c:pt idx="0">
                  <c:v>AOQ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'1.16'!$A$2:$A$10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0.1</c:v>
                </c:pt>
                <c:pt idx="7">
                  <c:v>0.15</c:v>
                </c:pt>
                <c:pt idx="8">
                  <c:v>0.3</c:v>
                </c:pt>
              </c:numCache>
            </c:numRef>
          </c:cat>
          <c:val>
            <c:numRef>
              <c:f>'1.16'!$D$2:$D$10</c:f>
              <c:numCache>
                <c:formatCode>General</c:formatCode>
                <c:ptCount val="9"/>
                <c:pt idx="0">
                  <c:v>9.9999998204296815E-3</c:v>
                </c:pt>
                <c:pt idx="1">
                  <c:v>1.9998526789528071E-2</c:v>
                </c:pt>
                <c:pt idx="2">
                  <c:v>2.9875427360959071E-2</c:v>
                </c:pt>
                <c:pt idx="3">
                  <c:v>4.1762210095735768E-2</c:v>
                </c:pt>
                <c:pt idx="4">
                  <c:v>2.737944771845905E-2</c:v>
                </c:pt>
                <c:pt idx="5">
                  <c:v>1.6646189003239539E-2</c:v>
                </c:pt>
                <c:pt idx="6">
                  <c:v>3.860175826631734E-3</c:v>
                </c:pt>
                <c:pt idx="7">
                  <c:v>1.5612754158487289E-5</c:v>
                </c:pt>
                <c:pt idx="8">
                  <c:v>8.5312290707722757E-16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4-4AC6-94C5-A731B241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AOQ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ATI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'1.16'!$F$1</c:f>
              <c:strCache>
                <c:ptCount val="1"/>
                <c:pt idx="0">
                  <c:v>ATI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'1.16'!$A$2:$A$10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0.1</c:v>
                </c:pt>
                <c:pt idx="7">
                  <c:v>0.15</c:v>
                </c:pt>
                <c:pt idx="8">
                  <c:v>0.3</c:v>
                </c:pt>
              </c:numCache>
            </c:numRef>
          </c:cat>
          <c:val>
            <c:numRef>
              <c:f>'1.16'!$F$2:$F$10</c:f>
              <c:numCache>
                <c:formatCode>General</c:formatCode>
                <c:ptCount val="9"/>
                <c:pt idx="0">
                  <c:v>225.0000354651379</c:v>
                </c:pt>
                <c:pt idx="1">
                  <c:v>225.14547953410261</c:v>
                </c:pt>
                <c:pt idx="2">
                  <c:v>233.2010320701942</c:v>
                </c:pt>
                <c:pt idx="3">
                  <c:v>550.39270121843742</c:v>
                </c:pt>
                <c:pt idx="4">
                  <c:v>1427.5084393720481</c:v>
                </c:pt>
                <c:pt idx="5">
                  <c:v>1789.0472089825239</c:v>
                </c:pt>
                <c:pt idx="6">
                  <c:v>2123.7615274240229</c:v>
                </c:pt>
                <c:pt idx="7">
                  <c:v>2199.7944320702459</c:v>
                </c:pt>
                <c:pt idx="8">
                  <c:v>2199.999999999995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7-4254-9753-C74CD330D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227880</xdr:colOff>
      <xdr:row>29</xdr:row>
      <xdr:rowOff>96480</xdr:rowOff>
    </xdr:from>
    <xdr:to>
      <xdr:col>12</xdr:col>
      <xdr:colOff>430560</xdr:colOff>
      <xdr:row>49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191160</xdr:colOff>
      <xdr:row>21</xdr:row>
      <xdr:rowOff>39960</xdr:rowOff>
    </xdr:from>
    <xdr:to>
      <xdr:col>12</xdr:col>
      <xdr:colOff>261360</xdr:colOff>
      <xdr:row>41</xdr:row>
      <xdr:rowOff>28440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3D20E-B4F3-44AA-BD23-ABA2CA75C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29FC80-CAF8-4706-9E23-786ABC7EF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456DA4-8F48-4B0C-9E47-58EB57967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16"/>
  <sheetViews>
    <sheetView zoomScale="162" zoomScaleNormal="162" workbookViewId="0">
      <selection activeCell="I23" sqref="I23"/>
    </sheetView>
  </sheetViews>
  <sheetFormatPr defaultColWidth="11.5546875" defaultRowHeight="12.75" customHeight="1" x14ac:dyDescent="0.25"/>
  <sheetData>
    <row r="5" spans="3:10" ht="13.2" x14ac:dyDescent="0.25">
      <c r="C5" s="4" t="s">
        <v>0</v>
      </c>
      <c r="D5" s="4" t="s">
        <v>1</v>
      </c>
      <c r="E5" s="4" t="s">
        <v>2</v>
      </c>
      <c r="G5" s="5"/>
    </row>
    <row r="6" spans="3:10" ht="13.2" x14ac:dyDescent="0.25">
      <c r="C6" s="6">
        <v>1</v>
      </c>
      <c r="D6" s="6">
        <v>43</v>
      </c>
      <c r="E6" s="6">
        <v>5</v>
      </c>
    </row>
    <row r="7" spans="3:10" ht="13.2" x14ac:dyDescent="0.25">
      <c r="C7" s="6">
        <v>2</v>
      </c>
      <c r="D7" s="6">
        <v>49</v>
      </c>
      <c r="E7" s="6">
        <v>6</v>
      </c>
      <c r="G7" s="4" t="s">
        <v>3</v>
      </c>
      <c r="H7" s="7">
        <f>(1/10)*D16</f>
        <v>44.2</v>
      </c>
    </row>
    <row r="8" spans="3:10" ht="13.2" x14ac:dyDescent="0.25">
      <c r="C8" s="6">
        <v>3</v>
      </c>
      <c r="D8" s="6">
        <v>37</v>
      </c>
      <c r="E8" s="6">
        <v>5</v>
      </c>
      <c r="G8" s="4" t="s">
        <v>4</v>
      </c>
      <c r="H8" s="7">
        <f>(1/10)*E16</f>
        <v>5.8000000000000007</v>
      </c>
    </row>
    <row r="9" spans="3:10" ht="13.2" x14ac:dyDescent="0.25">
      <c r="C9" s="6">
        <v>4</v>
      </c>
      <c r="D9" s="6">
        <v>44</v>
      </c>
      <c r="E9" s="6">
        <v>7</v>
      </c>
    </row>
    <row r="10" spans="3:10" ht="13.2" x14ac:dyDescent="0.25">
      <c r="C10" s="6">
        <v>5</v>
      </c>
      <c r="D10" s="6">
        <v>45</v>
      </c>
      <c r="E10" s="6">
        <v>7</v>
      </c>
      <c r="I10" s="8"/>
    </row>
    <row r="11" spans="3:10" ht="13.2" x14ac:dyDescent="0.25">
      <c r="C11" s="6">
        <v>6</v>
      </c>
      <c r="D11" s="6">
        <v>37</v>
      </c>
      <c r="E11" s="6">
        <v>4</v>
      </c>
      <c r="G11" s="3" t="s">
        <v>5</v>
      </c>
      <c r="H11" s="3"/>
      <c r="I11" s="3" t="s">
        <v>6</v>
      </c>
      <c r="J11" s="3"/>
    </row>
    <row r="12" spans="3:10" ht="13.2" x14ac:dyDescent="0.25">
      <c r="C12" s="6">
        <v>7</v>
      </c>
      <c r="D12" s="6">
        <v>51</v>
      </c>
      <c r="E12" s="6">
        <v>8</v>
      </c>
      <c r="G12" s="9" t="s">
        <v>7</v>
      </c>
      <c r="H12" s="10">
        <f>H7+((3*H8)/(2.326*SQRT(5)))</f>
        <v>47.545449940541388</v>
      </c>
      <c r="I12" s="9" t="s">
        <v>7</v>
      </c>
      <c r="J12" s="10">
        <f>H8</f>
        <v>5.8000000000000007</v>
      </c>
    </row>
    <row r="13" spans="3:10" ht="13.2" x14ac:dyDescent="0.25">
      <c r="C13" s="6">
        <v>8</v>
      </c>
      <c r="D13" s="6">
        <v>46</v>
      </c>
      <c r="E13" s="6">
        <v>6</v>
      </c>
      <c r="G13" s="9" t="s">
        <v>8</v>
      </c>
      <c r="H13" s="10">
        <f>H7+((3*H8)/(2.326*SQRT(5)))</f>
        <v>47.545449940541388</v>
      </c>
      <c r="I13" s="9" t="s">
        <v>8</v>
      </c>
      <c r="J13" s="10">
        <f>H8+(3*0.864*5.8)/2.326</f>
        <v>12.263284608770423</v>
      </c>
    </row>
    <row r="14" spans="3:10" ht="13.2" x14ac:dyDescent="0.25">
      <c r="C14" s="6">
        <v>9</v>
      </c>
      <c r="D14" s="6">
        <v>43</v>
      </c>
      <c r="E14" s="6">
        <v>4</v>
      </c>
      <c r="G14" s="9" t="s">
        <v>9</v>
      </c>
      <c r="H14" s="10">
        <f>H7-(3*H8)/(2.326*SQRT(5))</f>
        <v>40.854550059458617</v>
      </c>
      <c r="I14" s="9" t="s">
        <v>9</v>
      </c>
      <c r="J14" s="10">
        <f>IF((H8-(3*0.864*5.8)/2.326)&gt;0, (H8-(3*0.864*5.8)/2.326), 0)</f>
        <v>0</v>
      </c>
    </row>
    <row r="15" spans="3:10" ht="13.2" x14ac:dyDescent="0.25">
      <c r="C15" s="6">
        <v>10</v>
      </c>
      <c r="D15" s="6">
        <v>47</v>
      </c>
      <c r="E15" s="6">
        <v>6</v>
      </c>
    </row>
    <row r="16" spans="3:10" ht="13.2" x14ac:dyDescent="0.25">
      <c r="C16" s="11" t="s">
        <v>10</v>
      </c>
      <c r="D16" s="11">
        <f>SUM(D6:D15)</f>
        <v>442</v>
      </c>
      <c r="E16" s="11">
        <f>SUM(E6:E15)</f>
        <v>58</v>
      </c>
    </row>
  </sheetData>
  <mergeCells count="2">
    <mergeCell ref="G11:H11"/>
    <mergeCell ref="I11:J11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L22"/>
  <sheetViews>
    <sheetView topLeftCell="A3" zoomScale="162" zoomScaleNormal="162" workbookViewId="0">
      <selection activeCell="I23" sqref="I23"/>
    </sheetView>
  </sheetViews>
  <sheetFormatPr defaultColWidth="11.5546875" defaultRowHeight="12.75" customHeight="1" x14ac:dyDescent="0.25"/>
  <sheetData>
    <row r="6" spans="3:12" ht="13.2" x14ac:dyDescent="0.25">
      <c r="C6" s="12" t="s">
        <v>11</v>
      </c>
      <c r="D6" s="12" t="s">
        <v>1</v>
      </c>
      <c r="E6" s="12" t="s">
        <v>2</v>
      </c>
      <c r="F6" s="12" t="s">
        <v>11</v>
      </c>
      <c r="G6" s="12" t="s">
        <v>1</v>
      </c>
      <c r="H6" s="12" t="s">
        <v>2</v>
      </c>
      <c r="I6" s="12" t="s">
        <v>11</v>
      </c>
      <c r="J6" s="12" t="s">
        <v>1</v>
      </c>
      <c r="K6" s="12" t="s">
        <v>2</v>
      </c>
    </row>
    <row r="7" spans="3:12" ht="13.2" x14ac:dyDescent="0.25">
      <c r="C7" s="13">
        <v>1</v>
      </c>
      <c r="D7" s="13">
        <v>0.83720000000000006</v>
      </c>
      <c r="E7" s="13">
        <v>0.01</v>
      </c>
      <c r="F7" s="13">
        <v>8</v>
      </c>
      <c r="G7" s="13">
        <v>0.83440000000000003</v>
      </c>
      <c r="H7" s="13">
        <v>3.0000000000000001E-3</v>
      </c>
      <c r="I7" s="13">
        <v>15</v>
      </c>
      <c r="J7" s="13">
        <v>0.84040000000000004</v>
      </c>
      <c r="K7" s="13">
        <v>8.0000000000000002E-3</v>
      </c>
    </row>
    <row r="8" spans="3:12" ht="13.2" x14ac:dyDescent="0.25">
      <c r="C8" s="13">
        <v>2</v>
      </c>
      <c r="D8" s="13">
        <v>0.83240000000000003</v>
      </c>
      <c r="E8" s="13">
        <v>8.9999999999999993E-3</v>
      </c>
      <c r="F8" s="13">
        <v>9</v>
      </c>
      <c r="G8" s="13">
        <v>0.83079999999999998</v>
      </c>
      <c r="H8" s="13">
        <v>2E-3</v>
      </c>
      <c r="I8" s="13">
        <v>16</v>
      </c>
      <c r="J8" s="13">
        <v>0.83720000000000006</v>
      </c>
      <c r="K8" s="13">
        <v>1.0999999999999999E-2</v>
      </c>
    </row>
    <row r="9" spans="3:12" ht="13.2" x14ac:dyDescent="0.25">
      <c r="C9" s="13">
        <v>3</v>
      </c>
      <c r="D9" s="13">
        <v>0.83179999999999998</v>
      </c>
      <c r="E9" s="13">
        <v>8.0000000000000002E-3</v>
      </c>
      <c r="F9" s="13">
        <v>10</v>
      </c>
      <c r="G9" s="13">
        <v>0.83499999999999996</v>
      </c>
      <c r="H9" s="13">
        <v>6.0000000000000001E-3</v>
      </c>
      <c r="I9" s="13">
        <v>17</v>
      </c>
      <c r="J9" s="13">
        <v>0.82820000000000005</v>
      </c>
      <c r="K9" s="13">
        <v>6.0000000000000001E-3</v>
      </c>
    </row>
    <row r="10" spans="3:12" ht="13.2" x14ac:dyDescent="0.25">
      <c r="C10" s="13">
        <v>4</v>
      </c>
      <c r="D10" s="13">
        <v>0.83440000000000003</v>
      </c>
      <c r="E10" s="13">
        <v>4.0000000000000001E-3</v>
      </c>
      <c r="F10" s="13">
        <v>11</v>
      </c>
      <c r="G10" s="13">
        <v>0.83799999999999997</v>
      </c>
      <c r="H10" s="13">
        <v>6.0000000000000001E-3</v>
      </c>
      <c r="I10" s="13">
        <v>18</v>
      </c>
      <c r="J10" s="13">
        <v>0.83460000000000001</v>
      </c>
      <c r="K10" s="13">
        <v>6.0000000000000001E-3</v>
      </c>
    </row>
    <row r="11" spans="3:12" ht="13.2" x14ac:dyDescent="0.25">
      <c r="C11" s="13">
        <v>5</v>
      </c>
      <c r="D11" s="13">
        <v>0.83460000000000001</v>
      </c>
      <c r="E11" s="13">
        <v>5.0000000000000001E-3</v>
      </c>
      <c r="F11" s="13">
        <v>12</v>
      </c>
      <c r="G11" s="13">
        <v>0.83220000000000005</v>
      </c>
      <c r="H11" s="13">
        <v>2E-3</v>
      </c>
      <c r="I11" s="13">
        <v>19</v>
      </c>
      <c r="J11" s="13">
        <v>0.83599999999999997</v>
      </c>
      <c r="K11" s="13">
        <v>4.0000000000000001E-3</v>
      </c>
    </row>
    <row r="12" spans="3:12" ht="13.2" x14ac:dyDescent="0.25">
      <c r="C12" s="13">
        <v>6</v>
      </c>
      <c r="D12" s="13">
        <v>0.83320000000000005</v>
      </c>
      <c r="E12" s="13">
        <v>1.0999999999999999E-2</v>
      </c>
      <c r="F12" s="13">
        <v>13</v>
      </c>
      <c r="G12" s="13">
        <v>0.83560000000000001</v>
      </c>
      <c r="H12" s="13">
        <v>1.2999999999999999E-2</v>
      </c>
      <c r="I12" s="13">
        <v>20</v>
      </c>
      <c r="J12" s="13">
        <v>0.83740000000000003</v>
      </c>
      <c r="K12" s="13">
        <v>6.0000000000000001E-3</v>
      </c>
    </row>
    <row r="13" spans="3:12" ht="13.2" x14ac:dyDescent="0.25">
      <c r="C13" s="13">
        <v>7</v>
      </c>
      <c r="D13" s="13">
        <v>0.83399999999999996</v>
      </c>
      <c r="E13" s="13">
        <v>8.9999999999999993E-3</v>
      </c>
      <c r="F13" s="13">
        <v>14</v>
      </c>
      <c r="G13" s="13">
        <v>0.83220000000000005</v>
      </c>
      <c r="H13" s="13">
        <v>5.0000000000000001E-3</v>
      </c>
      <c r="I13" s="14" t="s">
        <v>12</v>
      </c>
      <c r="J13" s="14">
        <f>SUM(D7:D13,G7:G13,J7:J12)</f>
        <v>16.689599999999999</v>
      </c>
      <c r="K13" s="14">
        <f>SUM(E7:E13,H7:H13,K7:K12)</f>
        <v>0.13400000000000001</v>
      </c>
    </row>
    <row r="15" spans="3:12" ht="13.2" x14ac:dyDescent="0.25">
      <c r="D15" s="4" t="s">
        <v>3</v>
      </c>
      <c r="E15" s="7">
        <f>(1/20)*J13</f>
        <v>0.83448</v>
      </c>
      <c r="H15" s="4" t="s">
        <v>13</v>
      </c>
      <c r="I15" s="15">
        <f>E15+(0.58*E16)</f>
        <v>0.83836599999999994</v>
      </c>
      <c r="K15" s="4" t="s">
        <v>14</v>
      </c>
      <c r="L15" s="7">
        <f>2.12*E16</f>
        <v>1.4204000000000003E-2</v>
      </c>
    </row>
    <row r="16" spans="3:12" ht="13.2" x14ac:dyDescent="0.25">
      <c r="D16" s="4" t="s">
        <v>4</v>
      </c>
      <c r="E16" s="7">
        <f>(1/20)*K13</f>
        <v>6.7000000000000011E-3</v>
      </c>
      <c r="H16" s="4" t="s">
        <v>15</v>
      </c>
      <c r="I16" s="15">
        <f>E15</f>
        <v>0.83448</v>
      </c>
      <c r="K16" s="4" t="s">
        <v>16</v>
      </c>
      <c r="L16" s="7">
        <f>E16</f>
        <v>6.7000000000000011E-3</v>
      </c>
    </row>
    <row r="17" spans="5:12" ht="13.2" x14ac:dyDescent="0.25">
      <c r="H17" s="4" t="s">
        <v>17</v>
      </c>
      <c r="I17" s="15">
        <f>E15-0.58*E16</f>
        <v>0.83059400000000005</v>
      </c>
      <c r="K17" s="4" t="s">
        <v>18</v>
      </c>
      <c r="L17" s="7">
        <f>0*E16</f>
        <v>0</v>
      </c>
    </row>
    <row r="20" spans="5:12" ht="13.2" x14ac:dyDescent="0.25">
      <c r="E20" s="4" t="s">
        <v>19</v>
      </c>
      <c r="F20" s="7">
        <f>SUM(D7:D13,G7:G9,G11:G13,J7:J8,J10:J12)/18</f>
        <v>0.83463333333333323</v>
      </c>
      <c r="H20" s="4" t="s">
        <v>20</v>
      </c>
      <c r="I20" s="7">
        <f>F20+0.58*F21</f>
        <v>0.83856444444444433</v>
      </c>
    </row>
    <row r="21" spans="5:12" ht="13.2" x14ac:dyDescent="0.25">
      <c r="E21" s="4" t="s">
        <v>21</v>
      </c>
      <c r="F21" s="7">
        <f>SUM(E7:E13,H7:H9,H11:H13,K7:K8,K10:K12)/18</f>
        <v>6.7777777777777784E-3</v>
      </c>
      <c r="H21" s="4" t="s">
        <v>22</v>
      </c>
      <c r="I21" s="7">
        <f>F20</f>
        <v>0.83463333333333323</v>
      </c>
    </row>
    <row r="22" spans="5:12" ht="13.2" x14ac:dyDescent="0.25">
      <c r="H22" s="4" t="s">
        <v>23</v>
      </c>
      <c r="I22" s="7">
        <f>F20-0.58*F21</f>
        <v>0.83070222222222212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27"/>
  <sheetViews>
    <sheetView topLeftCell="A26" zoomScale="162" zoomScaleNormal="162" workbookViewId="0">
      <selection activeCell="M14" sqref="M14"/>
    </sheetView>
  </sheetViews>
  <sheetFormatPr defaultColWidth="11.5546875" defaultRowHeight="12.75" customHeight="1" x14ac:dyDescent="0.25"/>
  <sheetData>
    <row r="3" spans="2:10" x14ac:dyDescent="0.25">
      <c r="B3" s="2" t="s">
        <v>24</v>
      </c>
      <c r="C3" s="2"/>
      <c r="D3" s="2"/>
      <c r="E3" s="2"/>
      <c r="F3" s="2"/>
      <c r="G3" s="2"/>
      <c r="H3" s="2"/>
    </row>
    <row r="4" spans="2:10" x14ac:dyDescent="0.25">
      <c r="B4" s="16" t="s">
        <v>25</v>
      </c>
      <c r="C4" s="17" t="s">
        <v>26</v>
      </c>
      <c r="D4" s="18" t="s">
        <v>27</v>
      </c>
      <c r="E4" s="18" t="s">
        <v>28</v>
      </c>
      <c r="F4" s="18" t="s">
        <v>29</v>
      </c>
      <c r="G4" s="18" t="s">
        <v>30</v>
      </c>
    </row>
    <row r="5" spans="2:10" x14ac:dyDescent="0.25">
      <c r="B5" s="19">
        <v>1</v>
      </c>
      <c r="C5" s="20">
        <v>425</v>
      </c>
      <c r="D5" s="21">
        <f t="shared" ref="D5:D26" si="0">C5/2000</f>
        <v>0.21249999999999999</v>
      </c>
      <c r="E5">
        <f t="shared" ref="E5:E26" si="1">$I$5</f>
        <v>0.15952272727272729</v>
      </c>
      <c r="F5">
        <f t="shared" ref="F5:F26" si="2">$I$11</f>
        <v>0.1840856774294754</v>
      </c>
      <c r="G5">
        <f t="shared" ref="G5:G26" si="3">$I$12</f>
        <v>0.13495977711597917</v>
      </c>
      <c r="H5" s="4" t="s">
        <v>31</v>
      </c>
      <c r="I5" s="22">
        <f>D27/22</f>
        <v>0.15952272727272729</v>
      </c>
    </row>
    <row r="6" spans="2:10" x14ac:dyDescent="0.25">
      <c r="B6" s="19">
        <v>2</v>
      </c>
      <c r="C6" s="20">
        <v>430</v>
      </c>
      <c r="D6" s="21">
        <f t="shared" si="0"/>
        <v>0.215</v>
      </c>
      <c r="E6">
        <f t="shared" si="1"/>
        <v>0.15952272727272729</v>
      </c>
      <c r="F6">
        <f t="shared" si="2"/>
        <v>0.1840856774294754</v>
      </c>
      <c r="G6">
        <f t="shared" si="3"/>
        <v>0.13495977711597917</v>
      </c>
      <c r="H6" s="4" t="s">
        <v>32</v>
      </c>
      <c r="I6" s="22">
        <f>1-I5</f>
        <v>0.84047727272727268</v>
      </c>
    </row>
    <row r="7" spans="2:10" x14ac:dyDescent="0.25">
      <c r="B7" s="19">
        <v>3</v>
      </c>
      <c r="C7" s="20">
        <v>216</v>
      </c>
      <c r="D7" s="21">
        <f t="shared" si="0"/>
        <v>0.108</v>
      </c>
      <c r="E7">
        <f t="shared" si="1"/>
        <v>0.15952272727272729</v>
      </c>
      <c r="F7">
        <f t="shared" si="2"/>
        <v>0.1840856774294754</v>
      </c>
      <c r="G7">
        <f t="shared" si="3"/>
        <v>0.13495977711597917</v>
      </c>
    </row>
    <row r="8" spans="2:10" x14ac:dyDescent="0.25">
      <c r="B8" s="23">
        <v>4</v>
      </c>
      <c r="C8" s="24">
        <v>341</v>
      </c>
      <c r="D8" s="25">
        <f t="shared" si="0"/>
        <v>0.17050000000000001</v>
      </c>
      <c r="E8">
        <f t="shared" si="1"/>
        <v>0.15952272727272729</v>
      </c>
      <c r="F8">
        <f t="shared" si="2"/>
        <v>0.1840856774294754</v>
      </c>
      <c r="G8">
        <f t="shared" si="3"/>
        <v>0.13495977711597917</v>
      </c>
    </row>
    <row r="9" spans="2:10" x14ac:dyDescent="0.25">
      <c r="B9" s="19">
        <v>5</v>
      </c>
      <c r="C9" s="20">
        <v>225</v>
      </c>
      <c r="D9" s="21">
        <f t="shared" si="0"/>
        <v>0.1125</v>
      </c>
      <c r="E9">
        <f t="shared" si="1"/>
        <v>0.15952272727272729</v>
      </c>
      <c r="F9">
        <f t="shared" si="2"/>
        <v>0.1840856774294754</v>
      </c>
      <c r="G9">
        <f t="shared" si="3"/>
        <v>0.13495977711597917</v>
      </c>
      <c r="H9" s="1" t="s">
        <v>33</v>
      </c>
      <c r="I9" s="1"/>
      <c r="J9" s="1"/>
    </row>
    <row r="10" spans="2:10" x14ac:dyDescent="0.25">
      <c r="B10" s="23">
        <v>6</v>
      </c>
      <c r="C10" s="24">
        <v>322</v>
      </c>
      <c r="D10" s="25">
        <f t="shared" si="0"/>
        <v>0.161</v>
      </c>
      <c r="E10">
        <f t="shared" si="1"/>
        <v>0.15952272727272729</v>
      </c>
      <c r="F10">
        <f t="shared" si="2"/>
        <v>0.1840856774294754</v>
      </c>
      <c r="G10">
        <f t="shared" si="3"/>
        <v>0.13495977711597917</v>
      </c>
      <c r="H10" s="12" t="s">
        <v>28</v>
      </c>
      <c r="I10" s="26">
        <f>I5</f>
        <v>0.15952272727272729</v>
      </c>
    </row>
    <row r="11" spans="2:10" x14ac:dyDescent="0.25">
      <c r="B11" s="23">
        <v>7</v>
      </c>
      <c r="C11" s="24">
        <v>280</v>
      </c>
      <c r="D11" s="25">
        <f t="shared" si="0"/>
        <v>0.14000000000000001</v>
      </c>
      <c r="E11">
        <f t="shared" si="1"/>
        <v>0.15952272727272729</v>
      </c>
      <c r="F11">
        <f t="shared" si="2"/>
        <v>0.1840856774294754</v>
      </c>
      <c r="G11">
        <f t="shared" si="3"/>
        <v>0.13495977711597917</v>
      </c>
      <c r="H11" s="12" t="s">
        <v>29</v>
      </c>
      <c r="I11" s="26">
        <f>I5+3*SQRT(I5*(I6/2000))</f>
        <v>0.1840856774294754</v>
      </c>
    </row>
    <row r="12" spans="2:10" x14ac:dyDescent="0.25">
      <c r="B12" s="23">
        <v>8</v>
      </c>
      <c r="C12" s="24">
        <v>306</v>
      </c>
      <c r="D12" s="25">
        <f t="shared" si="0"/>
        <v>0.153</v>
      </c>
      <c r="E12">
        <f t="shared" si="1"/>
        <v>0.15952272727272729</v>
      </c>
      <c r="F12">
        <f t="shared" si="2"/>
        <v>0.1840856774294754</v>
      </c>
      <c r="G12">
        <f t="shared" si="3"/>
        <v>0.13495977711597917</v>
      </c>
      <c r="H12" s="12" t="s">
        <v>30</v>
      </c>
      <c r="I12" s="26">
        <f>I5-3*SQRT(I5*(I6/2000))</f>
        <v>0.13495977711597917</v>
      </c>
    </row>
    <row r="13" spans="2:10" x14ac:dyDescent="0.25">
      <c r="B13" s="23">
        <v>9</v>
      </c>
      <c r="C13" s="24">
        <v>337</v>
      </c>
      <c r="D13" s="25">
        <f t="shared" si="0"/>
        <v>0.16850000000000001</v>
      </c>
      <c r="E13">
        <f t="shared" si="1"/>
        <v>0.15952272727272729</v>
      </c>
      <c r="F13">
        <f t="shared" si="2"/>
        <v>0.1840856774294754</v>
      </c>
      <c r="G13">
        <f t="shared" si="3"/>
        <v>0.13495977711597917</v>
      </c>
    </row>
    <row r="14" spans="2:10" x14ac:dyDescent="0.25">
      <c r="B14" s="23">
        <v>10</v>
      </c>
      <c r="C14" s="24">
        <v>305</v>
      </c>
      <c r="D14" s="25">
        <f t="shared" si="0"/>
        <v>0.1525</v>
      </c>
      <c r="E14">
        <f t="shared" si="1"/>
        <v>0.15952272727272729</v>
      </c>
      <c r="F14">
        <f t="shared" si="2"/>
        <v>0.1840856774294754</v>
      </c>
      <c r="G14">
        <f t="shared" si="3"/>
        <v>0.13495977711597917</v>
      </c>
    </row>
    <row r="15" spans="2:10" x14ac:dyDescent="0.25">
      <c r="B15" s="23">
        <v>11</v>
      </c>
      <c r="C15" s="24">
        <v>356</v>
      </c>
      <c r="D15" s="25">
        <f t="shared" si="0"/>
        <v>0.17799999999999999</v>
      </c>
      <c r="E15">
        <f t="shared" si="1"/>
        <v>0.15952272727272729</v>
      </c>
      <c r="F15">
        <f t="shared" si="2"/>
        <v>0.1840856774294754</v>
      </c>
      <c r="G15">
        <f t="shared" si="3"/>
        <v>0.13495977711597917</v>
      </c>
    </row>
    <row r="16" spans="2:10" x14ac:dyDescent="0.25">
      <c r="B16" s="19">
        <v>12</v>
      </c>
      <c r="C16" s="20">
        <v>402</v>
      </c>
      <c r="D16" s="21">
        <f t="shared" si="0"/>
        <v>0.20100000000000001</v>
      </c>
      <c r="E16">
        <f t="shared" si="1"/>
        <v>0.15952272727272729</v>
      </c>
      <c r="F16">
        <f t="shared" si="2"/>
        <v>0.1840856774294754</v>
      </c>
      <c r="G16">
        <f t="shared" si="3"/>
        <v>0.13495977711597917</v>
      </c>
    </row>
    <row r="17" spans="2:7" x14ac:dyDescent="0.25">
      <c r="B17" s="19">
        <v>13</v>
      </c>
      <c r="C17" s="20">
        <v>216</v>
      </c>
      <c r="D17" s="21">
        <f t="shared" si="0"/>
        <v>0.108</v>
      </c>
      <c r="E17">
        <f t="shared" si="1"/>
        <v>0.15952272727272729</v>
      </c>
      <c r="F17">
        <f t="shared" si="2"/>
        <v>0.1840856774294754</v>
      </c>
      <c r="G17">
        <f t="shared" si="3"/>
        <v>0.13495977711597917</v>
      </c>
    </row>
    <row r="18" spans="2:7" x14ac:dyDescent="0.25">
      <c r="B18" s="19">
        <v>14</v>
      </c>
      <c r="C18" s="20">
        <v>264</v>
      </c>
      <c r="D18" s="21">
        <f t="shared" si="0"/>
        <v>0.13200000000000001</v>
      </c>
      <c r="E18">
        <f t="shared" si="1"/>
        <v>0.15952272727272729</v>
      </c>
      <c r="F18">
        <f t="shared" si="2"/>
        <v>0.1840856774294754</v>
      </c>
      <c r="G18">
        <f t="shared" si="3"/>
        <v>0.13495977711597917</v>
      </c>
    </row>
    <row r="19" spans="2:7" x14ac:dyDescent="0.25">
      <c r="B19" s="19">
        <v>15</v>
      </c>
      <c r="C19" s="20">
        <v>126</v>
      </c>
      <c r="D19" s="21">
        <f t="shared" si="0"/>
        <v>6.3E-2</v>
      </c>
      <c r="E19">
        <f t="shared" si="1"/>
        <v>0.15952272727272729</v>
      </c>
      <c r="F19">
        <f t="shared" si="2"/>
        <v>0.1840856774294754</v>
      </c>
      <c r="G19">
        <f t="shared" si="3"/>
        <v>0.13495977711597917</v>
      </c>
    </row>
    <row r="20" spans="2:7" x14ac:dyDescent="0.25">
      <c r="B20" s="19">
        <v>16</v>
      </c>
      <c r="C20" s="20">
        <v>409</v>
      </c>
      <c r="D20" s="21">
        <f t="shared" si="0"/>
        <v>0.20449999999999999</v>
      </c>
      <c r="E20">
        <f t="shared" si="1"/>
        <v>0.15952272727272729</v>
      </c>
      <c r="F20">
        <f t="shared" si="2"/>
        <v>0.1840856774294754</v>
      </c>
      <c r="G20">
        <f t="shared" si="3"/>
        <v>0.13495977711597917</v>
      </c>
    </row>
    <row r="21" spans="2:7" x14ac:dyDescent="0.25">
      <c r="B21" s="19">
        <v>17</v>
      </c>
      <c r="C21" s="20">
        <v>193</v>
      </c>
      <c r="D21" s="21">
        <f t="shared" si="0"/>
        <v>9.6500000000000002E-2</v>
      </c>
      <c r="E21">
        <f t="shared" si="1"/>
        <v>0.15952272727272729</v>
      </c>
      <c r="F21">
        <f t="shared" si="2"/>
        <v>0.1840856774294754</v>
      </c>
      <c r="G21">
        <f t="shared" si="3"/>
        <v>0.13495977711597917</v>
      </c>
    </row>
    <row r="22" spans="2:7" x14ac:dyDescent="0.25">
      <c r="B22" s="23">
        <v>18</v>
      </c>
      <c r="C22" s="24">
        <v>326</v>
      </c>
      <c r="D22" s="25">
        <f t="shared" si="0"/>
        <v>0.16300000000000001</v>
      </c>
      <c r="E22">
        <f t="shared" si="1"/>
        <v>0.15952272727272729</v>
      </c>
      <c r="F22">
        <f t="shared" si="2"/>
        <v>0.1840856774294754</v>
      </c>
      <c r="G22">
        <f t="shared" si="3"/>
        <v>0.13495977711597917</v>
      </c>
    </row>
    <row r="23" spans="2:7" x14ac:dyDescent="0.25">
      <c r="B23" s="23">
        <v>19</v>
      </c>
      <c r="C23" s="24">
        <v>280</v>
      </c>
      <c r="D23" s="25">
        <f t="shared" si="0"/>
        <v>0.14000000000000001</v>
      </c>
      <c r="E23">
        <f t="shared" si="1"/>
        <v>0.15952272727272729</v>
      </c>
      <c r="F23">
        <f t="shared" si="2"/>
        <v>0.1840856774294754</v>
      </c>
      <c r="G23">
        <f t="shared" si="3"/>
        <v>0.13495977711597917</v>
      </c>
    </row>
    <row r="24" spans="2:7" x14ac:dyDescent="0.25">
      <c r="B24" s="19">
        <v>20</v>
      </c>
      <c r="C24" s="20">
        <v>389</v>
      </c>
      <c r="D24" s="21">
        <f t="shared" si="0"/>
        <v>0.19450000000000001</v>
      </c>
      <c r="E24">
        <f t="shared" si="1"/>
        <v>0.15952272727272729</v>
      </c>
      <c r="F24">
        <f t="shared" si="2"/>
        <v>0.1840856774294754</v>
      </c>
      <c r="G24">
        <f t="shared" si="3"/>
        <v>0.13495977711597917</v>
      </c>
    </row>
    <row r="25" spans="2:7" x14ac:dyDescent="0.25">
      <c r="B25" s="19">
        <v>21</v>
      </c>
      <c r="C25" s="20">
        <v>451</v>
      </c>
      <c r="D25" s="21">
        <f t="shared" si="0"/>
        <v>0.22550000000000001</v>
      </c>
      <c r="E25">
        <f t="shared" si="1"/>
        <v>0.15952272727272729</v>
      </c>
      <c r="F25">
        <f t="shared" si="2"/>
        <v>0.1840856774294754</v>
      </c>
      <c r="G25">
        <f t="shared" si="3"/>
        <v>0.13495977711597917</v>
      </c>
    </row>
    <row r="26" spans="2:7" x14ac:dyDescent="0.25">
      <c r="B26" s="19">
        <v>22</v>
      </c>
      <c r="C26" s="20">
        <v>420</v>
      </c>
      <c r="D26" s="21">
        <f t="shared" si="0"/>
        <v>0.21</v>
      </c>
      <c r="E26">
        <f t="shared" si="1"/>
        <v>0.15952272727272729</v>
      </c>
      <c r="F26">
        <f t="shared" si="2"/>
        <v>0.1840856774294754</v>
      </c>
      <c r="G26">
        <f t="shared" si="3"/>
        <v>0.13495977711597917</v>
      </c>
    </row>
    <row r="27" spans="2:7" x14ac:dyDescent="0.25">
      <c r="B27" s="27" t="s">
        <v>34</v>
      </c>
      <c r="C27" s="28">
        <f>SUM(C5:C26)</f>
        <v>7019</v>
      </c>
      <c r="D27" s="29">
        <f>SUM(D5:D26)</f>
        <v>3.5095000000000001</v>
      </c>
    </row>
  </sheetData>
  <mergeCells count="2">
    <mergeCell ref="B3:H3"/>
    <mergeCell ref="H9:J9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K20"/>
  <sheetViews>
    <sheetView topLeftCell="A24" zoomScale="162" zoomScaleNormal="162" workbookViewId="0">
      <selection activeCell="E21" sqref="E21"/>
    </sheetView>
  </sheetViews>
  <sheetFormatPr defaultColWidth="11.5546875" defaultRowHeight="12.75" customHeight="1" x14ac:dyDescent="0.25"/>
  <sheetData>
    <row r="5" spans="2:11" ht="52.8" x14ac:dyDescent="0.25">
      <c r="B5" s="30" t="s">
        <v>35</v>
      </c>
      <c r="C5" s="31" t="s">
        <v>36</v>
      </c>
      <c r="D5" s="31" t="s">
        <v>37</v>
      </c>
      <c r="E5" s="31" t="s">
        <v>38</v>
      </c>
      <c r="F5" s="32" t="s">
        <v>39</v>
      </c>
      <c r="G5" s="31" t="s">
        <v>40</v>
      </c>
      <c r="H5" s="31" t="s">
        <v>41</v>
      </c>
      <c r="I5" s="31" t="s">
        <v>42</v>
      </c>
      <c r="J5" s="33" t="s">
        <v>43</v>
      </c>
      <c r="K5" s="33" t="s">
        <v>7</v>
      </c>
    </row>
    <row r="6" spans="2:11" ht="13.2" x14ac:dyDescent="0.25">
      <c r="B6" s="34">
        <v>1</v>
      </c>
      <c r="C6" s="35">
        <v>2000</v>
      </c>
      <c r="D6" s="35">
        <v>425</v>
      </c>
      <c r="E6" s="35">
        <f t="shared" ref="E6:E15" si="0">D6/C6</f>
        <v>0.21249999999999999</v>
      </c>
      <c r="F6" s="36">
        <f t="shared" ref="F6:F15" si="1">$D$20/C6</f>
        <v>7.3526222960331987E-5</v>
      </c>
      <c r="G6" s="37">
        <f t="shared" ref="G6:G15" si="2">SQRT(F6)</f>
        <v>8.5747433174604114E-3</v>
      </c>
      <c r="H6" s="37">
        <f t="shared" ref="H6:H15" si="3">3*G6</f>
        <v>2.5724229952381234E-2</v>
      </c>
      <c r="I6" s="38">
        <f t="shared" ref="I6:I15" si="4">$D$18+H6</f>
        <v>0.20486981736103779</v>
      </c>
      <c r="J6" s="39">
        <f t="shared" ref="J6:J15" si="5">$D$18 - H6</f>
        <v>0.1534213574562753</v>
      </c>
      <c r="K6" s="39">
        <f t="shared" ref="K6:K15" si="6">$D$18</f>
        <v>0.17914558740865655</v>
      </c>
    </row>
    <row r="7" spans="2:11" ht="13.2" x14ac:dyDescent="0.25">
      <c r="B7" s="34">
        <v>2</v>
      </c>
      <c r="C7" s="35">
        <v>1500</v>
      </c>
      <c r="D7" s="35">
        <v>430</v>
      </c>
      <c r="E7" s="35">
        <f t="shared" si="0"/>
        <v>0.28666666666666668</v>
      </c>
      <c r="F7" s="36">
        <f t="shared" si="1"/>
        <v>9.8034963947109312E-5</v>
      </c>
      <c r="G7" s="37">
        <f t="shared" si="2"/>
        <v>9.9012607251354259E-3</v>
      </c>
      <c r="H7" s="37">
        <f t="shared" si="3"/>
        <v>2.9703782175406278E-2</v>
      </c>
      <c r="I7" s="38">
        <f t="shared" si="4"/>
        <v>0.20884936958406283</v>
      </c>
      <c r="J7" s="39">
        <f t="shared" si="5"/>
        <v>0.14944180523325026</v>
      </c>
      <c r="K7" s="39">
        <f t="shared" si="6"/>
        <v>0.17914558740865655</v>
      </c>
    </row>
    <row r="8" spans="2:11" ht="13.2" x14ac:dyDescent="0.25">
      <c r="B8" s="34">
        <v>3</v>
      </c>
      <c r="C8" s="35">
        <v>1400</v>
      </c>
      <c r="D8" s="35">
        <v>216</v>
      </c>
      <c r="E8" s="35">
        <f t="shared" si="0"/>
        <v>0.15428571428571428</v>
      </c>
      <c r="F8" s="36">
        <f t="shared" si="1"/>
        <v>1.0503746137190283E-4</v>
      </c>
      <c r="G8" s="37">
        <f t="shared" si="2"/>
        <v>1.0248778530727592E-2</v>
      </c>
      <c r="H8" s="37">
        <f t="shared" si="3"/>
        <v>3.0746335592182775E-2</v>
      </c>
      <c r="I8" s="38">
        <f t="shared" si="4"/>
        <v>0.20989192300083931</v>
      </c>
      <c r="J8" s="39">
        <f t="shared" si="5"/>
        <v>0.14839925181647379</v>
      </c>
      <c r="K8" s="39">
        <f t="shared" si="6"/>
        <v>0.17914558740865655</v>
      </c>
    </row>
    <row r="9" spans="2:11" ht="13.2" x14ac:dyDescent="0.25">
      <c r="B9" s="34">
        <v>4</v>
      </c>
      <c r="C9" s="35">
        <v>1350</v>
      </c>
      <c r="D9" s="35">
        <v>341</v>
      </c>
      <c r="E9" s="35">
        <f t="shared" si="0"/>
        <v>0.25259259259259259</v>
      </c>
      <c r="F9" s="36">
        <f t="shared" si="1"/>
        <v>1.0892773771901035E-4</v>
      </c>
      <c r="G9" s="37">
        <f t="shared" si="2"/>
        <v>1.0436845199532776E-2</v>
      </c>
      <c r="H9" s="37">
        <f t="shared" si="3"/>
        <v>3.1310535598598324E-2</v>
      </c>
      <c r="I9" s="38">
        <f t="shared" si="4"/>
        <v>0.21045612300725486</v>
      </c>
      <c r="J9" s="39">
        <f t="shared" si="5"/>
        <v>0.14783505181005824</v>
      </c>
      <c r="K9" s="39">
        <f t="shared" si="6"/>
        <v>0.17914558740865655</v>
      </c>
    </row>
    <row r="10" spans="2:11" ht="13.2" x14ac:dyDescent="0.25">
      <c r="B10" s="34">
        <v>5</v>
      </c>
      <c r="C10" s="35">
        <v>1250</v>
      </c>
      <c r="D10" s="35">
        <v>225</v>
      </c>
      <c r="E10" s="35">
        <f t="shared" si="0"/>
        <v>0.18</v>
      </c>
      <c r="F10" s="36">
        <f t="shared" si="1"/>
        <v>1.1764195673653117E-4</v>
      </c>
      <c r="G10" s="37">
        <f t="shared" si="2"/>
        <v>1.0846287693793262E-2</v>
      </c>
      <c r="H10" s="37">
        <f t="shared" si="3"/>
        <v>3.2538863081379786E-2</v>
      </c>
      <c r="I10" s="38">
        <f t="shared" si="4"/>
        <v>0.21168445049003634</v>
      </c>
      <c r="J10" s="39">
        <f t="shared" si="5"/>
        <v>0.14660672432727676</v>
      </c>
      <c r="K10" s="39">
        <f t="shared" si="6"/>
        <v>0.17914558740865655</v>
      </c>
    </row>
    <row r="11" spans="2:11" ht="13.2" x14ac:dyDescent="0.25">
      <c r="B11" s="34">
        <v>6</v>
      </c>
      <c r="C11" s="35">
        <v>1760</v>
      </c>
      <c r="D11" s="35">
        <v>322</v>
      </c>
      <c r="E11" s="35">
        <f t="shared" si="0"/>
        <v>0.18295454545454545</v>
      </c>
      <c r="F11" s="36">
        <f t="shared" si="1"/>
        <v>8.3552526091286341E-5</v>
      </c>
      <c r="G11" s="37">
        <f t="shared" si="2"/>
        <v>9.1407070892402156E-3</v>
      </c>
      <c r="H11" s="37">
        <f t="shared" si="3"/>
        <v>2.7422121267720645E-2</v>
      </c>
      <c r="I11" s="38">
        <f t="shared" si="4"/>
        <v>0.20656770867637719</v>
      </c>
      <c r="J11" s="39">
        <f t="shared" si="5"/>
        <v>0.1517234661409359</v>
      </c>
      <c r="K11" s="39">
        <f t="shared" si="6"/>
        <v>0.17914558740865655</v>
      </c>
    </row>
    <row r="12" spans="2:11" ht="13.2" x14ac:dyDescent="0.25">
      <c r="B12" s="34">
        <v>7</v>
      </c>
      <c r="C12" s="35">
        <v>1875</v>
      </c>
      <c r="D12" s="35">
        <v>280</v>
      </c>
      <c r="E12" s="35">
        <f t="shared" si="0"/>
        <v>0.14933333333333335</v>
      </c>
      <c r="F12" s="36">
        <f t="shared" si="1"/>
        <v>7.8427971157687444E-5</v>
      </c>
      <c r="G12" s="37">
        <f t="shared" si="2"/>
        <v>8.8559568177406702E-3</v>
      </c>
      <c r="H12" s="37">
        <f t="shared" si="3"/>
        <v>2.6567870453222009E-2</v>
      </c>
      <c r="I12" s="38">
        <f t="shared" si="4"/>
        <v>0.20571345786187856</v>
      </c>
      <c r="J12" s="39">
        <f t="shared" si="5"/>
        <v>0.15257771695543454</v>
      </c>
      <c r="K12" s="39">
        <f t="shared" si="6"/>
        <v>0.17914558740865655</v>
      </c>
    </row>
    <row r="13" spans="2:11" ht="13.2" x14ac:dyDescent="0.25">
      <c r="B13" s="34">
        <v>8</v>
      </c>
      <c r="C13" s="35">
        <v>1955</v>
      </c>
      <c r="D13" s="35">
        <v>306</v>
      </c>
      <c r="E13" s="35">
        <f t="shared" si="0"/>
        <v>0.15652173913043479</v>
      </c>
      <c r="F13" s="36">
        <f t="shared" si="1"/>
        <v>7.5218642414661869E-5</v>
      </c>
      <c r="G13" s="37">
        <f t="shared" si="2"/>
        <v>8.6728681769448028E-3</v>
      </c>
      <c r="H13" s="37">
        <f t="shared" si="3"/>
        <v>2.6018604530834408E-2</v>
      </c>
      <c r="I13" s="38">
        <f t="shared" si="4"/>
        <v>0.20516419193949095</v>
      </c>
      <c r="J13" s="39">
        <f t="shared" si="5"/>
        <v>0.15312698287782214</v>
      </c>
      <c r="K13" s="39">
        <f t="shared" si="6"/>
        <v>0.17914558740865655</v>
      </c>
    </row>
    <row r="14" spans="2:11" ht="13.2" x14ac:dyDescent="0.25">
      <c r="B14" s="34">
        <v>9</v>
      </c>
      <c r="C14" s="35">
        <v>3125</v>
      </c>
      <c r="D14" s="35">
        <v>337</v>
      </c>
      <c r="E14" s="35">
        <f t="shared" si="0"/>
        <v>0.10784000000000001</v>
      </c>
      <c r="F14" s="36">
        <f t="shared" si="1"/>
        <v>4.7056782694612469E-5</v>
      </c>
      <c r="G14" s="37">
        <f t="shared" si="2"/>
        <v>6.8597946539683289E-3</v>
      </c>
      <c r="H14" s="37">
        <f t="shared" si="3"/>
        <v>2.0579383961904986E-2</v>
      </c>
      <c r="I14" s="38">
        <f t="shared" si="4"/>
        <v>0.19972497137056153</v>
      </c>
      <c r="J14" s="39">
        <f t="shared" si="5"/>
        <v>0.15856620344675157</v>
      </c>
      <c r="K14" s="39">
        <f t="shared" si="6"/>
        <v>0.17914558740865655</v>
      </c>
    </row>
    <row r="15" spans="2:11" ht="13.2" x14ac:dyDescent="0.25">
      <c r="B15" s="40">
        <v>10</v>
      </c>
      <c r="C15" s="41">
        <v>1575</v>
      </c>
      <c r="D15" s="35">
        <v>305</v>
      </c>
      <c r="E15" s="35">
        <f t="shared" si="0"/>
        <v>0.19365079365079366</v>
      </c>
      <c r="F15" s="36">
        <f t="shared" si="1"/>
        <v>9.3366632330580299E-5</v>
      </c>
      <c r="G15" s="37">
        <f t="shared" si="2"/>
        <v>9.6626410639421099E-3</v>
      </c>
      <c r="H15" s="37">
        <f t="shared" si="3"/>
        <v>2.8987923191826331E-2</v>
      </c>
      <c r="I15" s="38">
        <f t="shared" si="4"/>
        <v>0.20813351060048288</v>
      </c>
      <c r="J15" s="39">
        <f t="shared" si="5"/>
        <v>0.15015766421683022</v>
      </c>
      <c r="K15" s="39">
        <f t="shared" si="6"/>
        <v>0.17914558740865655</v>
      </c>
    </row>
    <row r="16" spans="2:11" ht="13.2" x14ac:dyDescent="0.25">
      <c r="B16" s="42" t="s">
        <v>12</v>
      </c>
      <c r="C16" s="42">
        <f>SUM(C6:C15)</f>
        <v>17790</v>
      </c>
      <c r="D16" s="42">
        <f>SUM(D6:D15)</f>
        <v>3187</v>
      </c>
    </row>
    <row r="18" spans="3:4" ht="13.2" x14ac:dyDescent="0.25">
      <c r="C18" t="s">
        <v>31</v>
      </c>
      <c r="D18">
        <f>D16/C16</f>
        <v>0.17914558740865655</v>
      </c>
    </row>
    <row r="19" spans="3:4" ht="13.2" x14ac:dyDescent="0.25">
      <c r="C19" t="s">
        <v>32</v>
      </c>
      <c r="D19">
        <f>1-D18</f>
        <v>0.82085441259134351</v>
      </c>
    </row>
    <row r="20" spans="3:4" ht="13.2" x14ac:dyDescent="0.25">
      <c r="C20" t="s">
        <v>44</v>
      </c>
      <c r="D20">
        <f>D18*D19</f>
        <v>0.14705244592066397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M24"/>
  <sheetViews>
    <sheetView zoomScale="162" zoomScaleNormal="162" workbookViewId="0">
      <selection activeCell="H17" sqref="H17"/>
    </sheetView>
  </sheetViews>
  <sheetFormatPr defaultColWidth="11.5546875" defaultRowHeight="12.75" customHeight="1" x14ac:dyDescent="0.25"/>
  <cols>
    <col min="3" max="3" width="12.77734375" customWidth="1"/>
  </cols>
  <sheetData>
    <row r="3" spans="2:13" ht="13.2" x14ac:dyDescent="0.25">
      <c r="B3" s="12" t="s">
        <v>45</v>
      </c>
      <c r="C3" s="12" t="s">
        <v>46</v>
      </c>
    </row>
    <row r="4" spans="2:13" ht="13.2" x14ac:dyDescent="0.25">
      <c r="B4" s="13">
        <v>1</v>
      </c>
      <c r="C4" s="13">
        <v>2</v>
      </c>
      <c r="E4" s="4" t="s">
        <v>47</v>
      </c>
      <c r="F4" s="7">
        <f>(1/20)*C24</f>
        <v>1.75</v>
      </c>
    </row>
    <row r="5" spans="2:13" ht="13.2" x14ac:dyDescent="0.25">
      <c r="B5" s="13">
        <v>2</v>
      </c>
      <c r="C5" s="13">
        <v>0</v>
      </c>
      <c r="E5" s="4" t="s">
        <v>48</v>
      </c>
      <c r="F5" s="7">
        <f>F4</f>
        <v>1.75</v>
      </c>
    </row>
    <row r="6" spans="2:13" ht="13.2" x14ac:dyDescent="0.25">
      <c r="B6" s="13">
        <v>3</v>
      </c>
      <c r="C6" s="13">
        <v>4</v>
      </c>
      <c r="E6" s="4" t="s">
        <v>49</v>
      </c>
      <c r="F6" s="43">
        <f>F4+3*SQRT(F4)</f>
        <v>5.7186269665968865</v>
      </c>
    </row>
    <row r="7" spans="2:13" ht="13.2" x14ac:dyDescent="0.25">
      <c r="B7" s="13">
        <v>4</v>
      </c>
      <c r="C7" s="13">
        <v>1</v>
      </c>
      <c r="E7" s="4" t="s">
        <v>50</v>
      </c>
      <c r="F7" s="7">
        <f>IF(F4-(3*SQRT(F4)) &gt; 0, F4-(3*SQRT(F4)), 0)</f>
        <v>0</v>
      </c>
    </row>
    <row r="8" spans="2:13" ht="13.2" x14ac:dyDescent="0.25">
      <c r="B8" s="13">
        <v>5</v>
      </c>
      <c r="C8" s="13">
        <v>0</v>
      </c>
    </row>
    <row r="9" spans="2:13" ht="13.2" x14ac:dyDescent="0.25">
      <c r="B9" s="44">
        <v>6</v>
      </c>
      <c r="C9" s="44">
        <v>8</v>
      </c>
      <c r="E9" s="1" t="s">
        <v>51</v>
      </c>
      <c r="F9" s="1"/>
      <c r="G9" s="1"/>
      <c r="H9" s="1"/>
      <c r="I9" s="1"/>
      <c r="J9" s="1"/>
      <c r="K9" s="1"/>
      <c r="L9" s="1"/>
      <c r="M9" s="1"/>
    </row>
    <row r="10" spans="2:13" ht="13.2" x14ac:dyDescent="0.25">
      <c r="B10" s="13">
        <v>7</v>
      </c>
      <c r="C10" s="13">
        <v>0</v>
      </c>
    </row>
    <row r="11" spans="2:13" ht="13.2" x14ac:dyDescent="0.25">
      <c r="B11" s="13">
        <v>8</v>
      </c>
      <c r="C11" s="13">
        <v>1</v>
      </c>
      <c r="E11" s="4" t="s">
        <v>52</v>
      </c>
      <c r="F11" s="43">
        <f>(C24-C9-C14)/18</f>
        <v>1.1666666666666667</v>
      </c>
    </row>
    <row r="12" spans="2:13" ht="13.2" x14ac:dyDescent="0.25">
      <c r="B12" s="13">
        <v>9</v>
      </c>
      <c r="C12" s="13">
        <v>2</v>
      </c>
      <c r="E12" s="4" t="s">
        <v>53</v>
      </c>
      <c r="F12" s="43">
        <f>F11</f>
        <v>1.1666666666666667</v>
      </c>
    </row>
    <row r="13" spans="2:13" ht="13.2" x14ac:dyDescent="0.25">
      <c r="B13" s="13">
        <v>10</v>
      </c>
      <c r="C13" s="13">
        <v>0</v>
      </c>
      <c r="E13" s="4" t="s">
        <v>54</v>
      </c>
      <c r="F13" s="43">
        <f>4.15</f>
        <v>4.1500000000000004</v>
      </c>
    </row>
    <row r="14" spans="2:13" ht="13.2" x14ac:dyDescent="0.25">
      <c r="B14" s="44">
        <v>11</v>
      </c>
      <c r="C14" s="44">
        <v>6</v>
      </c>
      <c r="E14" s="4" t="s">
        <v>55</v>
      </c>
      <c r="F14" s="43">
        <f>IF(F11-(3*SQRT(F11)) &gt; 0, F11-(3*SQRT(F11)), 0)</f>
        <v>0</v>
      </c>
    </row>
    <row r="15" spans="2:13" ht="13.2" x14ac:dyDescent="0.25">
      <c r="B15" s="13">
        <v>12</v>
      </c>
      <c r="C15" s="13">
        <v>0</v>
      </c>
    </row>
    <row r="16" spans="2:13" ht="13.2" x14ac:dyDescent="0.25">
      <c r="B16" s="13">
        <v>13</v>
      </c>
      <c r="C16" s="13">
        <v>2</v>
      </c>
    </row>
    <row r="17" spans="2:3" ht="13.2" x14ac:dyDescent="0.25">
      <c r="B17" s="13">
        <v>14</v>
      </c>
      <c r="C17" s="13">
        <v>1</v>
      </c>
    </row>
    <row r="18" spans="2:3" ht="13.2" x14ac:dyDescent="0.25">
      <c r="B18" s="13">
        <v>15</v>
      </c>
      <c r="C18" s="13">
        <v>0</v>
      </c>
    </row>
    <row r="19" spans="2:3" ht="13.2" x14ac:dyDescent="0.25">
      <c r="B19" s="13">
        <v>16</v>
      </c>
      <c r="C19" s="13">
        <v>3</v>
      </c>
    </row>
    <row r="20" spans="2:3" ht="13.2" x14ac:dyDescent="0.25">
      <c r="B20" s="13">
        <v>17</v>
      </c>
      <c r="C20" s="13">
        <v>2</v>
      </c>
    </row>
    <row r="21" spans="2:3" ht="13.2" x14ac:dyDescent="0.25">
      <c r="B21" s="13">
        <v>18</v>
      </c>
      <c r="C21" s="13">
        <v>1</v>
      </c>
    </row>
    <row r="22" spans="2:3" ht="13.2" x14ac:dyDescent="0.25">
      <c r="B22" s="13">
        <v>19</v>
      </c>
      <c r="C22" s="13">
        <v>0</v>
      </c>
    </row>
    <row r="23" spans="2:3" ht="13.2" x14ac:dyDescent="0.25">
      <c r="B23" s="13">
        <v>20</v>
      </c>
      <c r="C23" s="13">
        <v>2</v>
      </c>
    </row>
    <row r="24" spans="2:3" ht="13.2" x14ac:dyDescent="0.25">
      <c r="B24" s="42" t="s">
        <v>12</v>
      </c>
      <c r="C24" s="42">
        <f>SUM(C4:C23)</f>
        <v>35</v>
      </c>
    </row>
  </sheetData>
  <mergeCells count="1">
    <mergeCell ref="E9:M9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D2C0-BDF6-4D19-AD09-1AE008FC6186}">
  <dimension ref="A1:F10"/>
  <sheetViews>
    <sheetView tabSelected="1" workbookViewId="0">
      <selection activeCell="S21" sqref="S21"/>
    </sheetView>
  </sheetViews>
  <sheetFormatPr defaultRowHeight="13.8" x14ac:dyDescent="0.25"/>
  <cols>
    <col min="1" max="16384" width="8.88671875" style="45"/>
  </cols>
  <sheetData>
    <row r="1" spans="1:6" x14ac:dyDescent="0.25">
      <c r="A1" s="45" t="s">
        <v>56</v>
      </c>
      <c r="B1" s="45" t="s">
        <v>59</v>
      </c>
      <c r="C1" s="45" t="s">
        <v>60</v>
      </c>
      <c r="D1" s="45" t="s">
        <v>61</v>
      </c>
      <c r="E1" s="45" t="s">
        <v>57</v>
      </c>
      <c r="F1" s="45" t="s">
        <v>58</v>
      </c>
    </row>
    <row r="2" spans="1:6" x14ac:dyDescent="0.25">
      <c r="A2" s="45">
        <v>0.01</v>
      </c>
      <c r="B2" s="45">
        <v>2.25</v>
      </c>
      <c r="C2" s="45">
        <v>0.99999998204296814</v>
      </c>
      <c r="D2" s="45">
        <v>9.9999998204296815E-3</v>
      </c>
      <c r="E2" s="45">
        <v>3.5465137926404822E-5</v>
      </c>
      <c r="F2" s="45">
        <v>225.0000354651379</v>
      </c>
    </row>
    <row r="3" spans="1:6" x14ac:dyDescent="0.25">
      <c r="A3" s="45">
        <v>0.02</v>
      </c>
      <c r="B3" s="45">
        <v>4.5</v>
      </c>
      <c r="C3" s="45">
        <v>0.99992633947640375</v>
      </c>
      <c r="D3" s="45">
        <v>1.9998526789528071E-2</v>
      </c>
      <c r="E3" s="45">
        <v>0.14547953410259939</v>
      </c>
      <c r="F3" s="45">
        <v>225.14547953410261</v>
      </c>
    </row>
    <row r="4" spans="1:6" x14ac:dyDescent="0.25">
      <c r="A4" s="45">
        <v>0.03</v>
      </c>
      <c r="B4" s="45">
        <v>6.75</v>
      </c>
      <c r="C4" s="45">
        <v>0.99584757869863583</v>
      </c>
      <c r="D4" s="45">
        <v>2.9875427360959071E-2</v>
      </c>
      <c r="E4" s="45">
        <v>8.2010320701942412</v>
      </c>
      <c r="F4" s="45">
        <v>233.2010320701942</v>
      </c>
    </row>
    <row r="5" spans="1:6" x14ac:dyDescent="0.25">
      <c r="A5" s="45">
        <v>0.05</v>
      </c>
      <c r="B5" s="45">
        <v>11.25</v>
      </c>
      <c r="C5" s="45">
        <v>0.83524420191471527</v>
      </c>
      <c r="D5" s="45">
        <v>4.1762210095735768E-2</v>
      </c>
      <c r="E5" s="45">
        <v>325.39270121843742</v>
      </c>
      <c r="F5" s="45">
        <v>550.39270121843742</v>
      </c>
    </row>
    <row r="6" spans="1:6" x14ac:dyDescent="0.25">
      <c r="A6" s="45">
        <v>7.0000000000000007E-2</v>
      </c>
      <c r="B6" s="45">
        <v>15.75</v>
      </c>
      <c r="C6" s="45">
        <v>0.39113496740655779</v>
      </c>
      <c r="D6" s="45">
        <v>2.737944771845905E-2</v>
      </c>
      <c r="E6" s="45">
        <v>1202.5084393720481</v>
      </c>
      <c r="F6" s="45">
        <v>1427.5084393720481</v>
      </c>
    </row>
    <row r="7" spans="1:6" x14ac:dyDescent="0.25">
      <c r="A7" s="45">
        <v>0.08</v>
      </c>
      <c r="B7" s="45">
        <v>18</v>
      </c>
      <c r="C7" s="45">
        <v>0.2080773625404943</v>
      </c>
      <c r="D7" s="45">
        <v>1.6646189003239539E-2</v>
      </c>
      <c r="E7" s="45">
        <v>1564.0472089825239</v>
      </c>
      <c r="F7" s="45">
        <v>1789.0472089825239</v>
      </c>
    </row>
    <row r="8" spans="1:6" x14ac:dyDescent="0.25">
      <c r="A8" s="45">
        <v>0.1</v>
      </c>
      <c r="B8" s="45">
        <v>22.5</v>
      </c>
      <c r="C8" s="45">
        <v>3.8601758266317343E-2</v>
      </c>
      <c r="D8" s="45">
        <v>3.860175826631734E-3</v>
      </c>
      <c r="E8" s="45">
        <v>1898.7615274240229</v>
      </c>
      <c r="F8" s="45">
        <v>2123.7615274240229</v>
      </c>
    </row>
    <row r="9" spans="1:6" x14ac:dyDescent="0.25">
      <c r="A9" s="45">
        <v>0.15</v>
      </c>
      <c r="B9" s="45">
        <v>33.75</v>
      </c>
      <c r="C9" s="45">
        <v>1.040850277232486E-4</v>
      </c>
      <c r="D9" s="45">
        <v>1.5612754158487289E-5</v>
      </c>
      <c r="E9" s="45">
        <v>1974.794432070247</v>
      </c>
      <c r="F9" s="45">
        <v>2199.7944320702459</v>
      </c>
    </row>
    <row r="10" spans="1:6" x14ac:dyDescent="0.25">
      <c r="A10" s="45">
        <v>0.3</v>
      </c>
      <c r="B10" s="45">
        <v>67.5</v>
      </c>
      <c r="C10" s="45">
        <v>2.8437430235907589E-15</v>
      </c>
      <c r="D10" s="45">
        <v>8.5312290707722757E-16</v>
      </c>
      <c r="E10" s="45">
        <v>1974.9999999999941</v>
      </c>
      <c r="F10" s="45">
        <v>2199.999999999995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</vt:lpstr>
      <vt:lpstr>1.4</vt:lpstr>
      <vt:lpstr>1.10</vt:lpstr>
      <vt:lpstr>1.13</vt:lpstr>
      <vt:lpstr>1.15</vt:lpstr>
      <vt:lpstr>1.16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Kshitiz Sadh</dc:creator>
  <cp:lastModifiedBy>Kshitiz Sadh</cp:lastModifiedBy>
  <dcterms:created xsi:type="dcterms:W3CDTF">2025-11-27T16:55:49Z</dcterms:created>
  <dcterms:modified xsi:type="dcterms:W3CDTF">2025-11-27T17:50:27Z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2025-11-25T22:44:08Z</dcterms:created>
  <dc:creator/>
  <dc:description/>
  <dc:language>en-US</dc:language>
  <cp:lastModifiedBy/>
  <dcterms:modified xsi:type="dcterms:W3CDTF">2025-11-27T01:37:32Z</dcterms:modified>
  <cp:revision>21</cp:revision>
  <dc:subject/>
  <dc:title/>
</cp:coreProperties>
</file>